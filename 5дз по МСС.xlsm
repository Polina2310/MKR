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0730" windowHeight="8535" activeTab="3"/>
  </bookViews>
  <sheets>
    <sheet name="ro_const" sheetId="2" r:id="rId1"/>
    <sheet name="ro_var" sheetId="1" r:id="rId2"/>
    <sheet name="ro_const_p105" sheetId="3" r:id="rId3"/>
    <sheet name="ro_var_p105" sheetId="4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4" l="1"/>
  <c r="P18" i="4" s="1"/>
  <c r="K17" i="4"/>
  <c r="K18" i="4" s="1"/>
  <c r="K19" i="4" s="1"/>
  <c r="J17" i="4"/>
  <c r="J18" i="4" s="1"/>
  <c r="J19" i="4" s="1"/>
  <c r="H17" i="4"/>
  <c r="H18" i="4" s="1"/>
  <c r="Q14" i="4"/>
  <c r="Q13" i="4"/>
  <c r="P13" i="4"/>
  <c r="P19" i="4" s="1"/>
  <c r="O13" i="4"/>
  <c r="O17" i="4" s="1"/>
  <c r="O18" i="4" s="1"/>
  <c r="N13" i="4"/>
  <c r="N17" i="4" s="1"/>
  <c r="N18" i="4" s="1"/>
  <c r="M13" i="4"/>
  <c r="M17" i="4" s="1"/>
  <c r="M18" i="4" s="1"/>
  <c r="M19" i="4" s="1"/>
  <c r="L13" i="4"/>
  <c r="L17" i="4" s="1"/>
  <c r="L18" i="4" s="1"/>
  <c r="L19" i="4" s="1"/>
  <c r="K13" i="4"/>
  <c r="J13" i="4"/>
  <c r="I13" i="4"/>
  <c r="H13" i="4"/>
  <c r="H19" i="4" s="1"/>
  <c r="Q4" i="4"/>
  <c r="Q10" i="4" s="1"/>
  <c r="G4" i="4"/>
  <c r="I3" i="4"/>
  <c r="I4" i="4" s="1"/>
  <c r="I10" i="4" s="1"/>
  <c r="H3" i="4"/>
  <c r="H4" i="4" s="1"/>
  <c r="I2" i="4"/>
  <c r="J2" i="4" s="1"/>
  <c r="K2" i="4" s="1"/>
  <c r="L2" i="4" s="1"/>
  <c r="M2" i="4" s="1"/>
  <c r="N2" i="4" s="1"/>
  <c r="O2" i="4" s="1"/>
  <c r="P2" i="4" s="1"/>
  <c r="Q2" i="4" s="1"/>
  <c r="H2" i="4"/>
  <c r="Q14" i="3"/>
  <c r="Q13" i="3"/>
  <c r="P13" i="3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K13" i="3"/>
  <c r="J13" i="3"/>
  <c r="J17" i="3" s="1"/>
  <c r="J18" i="3" s="1"/>
  <c r="I13" i="3"/>
  <c r="H13" i="3"/>
  <c r="H17" i="3" s="1"/>
  <c r="H18" i="3" s="1"/>
  <c r="Q4" i="3"/>
  <c r="H4" i="3"/>
  <c r="G13" i="3" s="1"/>
  <c r="G4" i="3"/>
  <c r="I3" i="3"/>
  <c r="I4" i="3" s="1"/>
  <c r="H3" i="3"/>
  <c r="H2" i="3"/>
  <c r="I2" i="3" s="1"/>
  <c r="J2" i="3" s="1"/>
  <c r="K2" i="3" s="1"/>
  <c r="L2" i="3" s="1"/>
  <c r="M2" i="3" s="1"/>
  <c r="N2" i="3" s="1"/>
  <c r="O2" i="3" s="1"/>
  <c r="P2" i="3" s="1"/>
  <c r="Q2" i="3" s="1"/>
  <c r="P19" i="2"/>
  <c r="P18" i="2"/>
  <c r="H18" i="2"/>
  <c r="H19" i="2" s="1"/>
  <c r="P17" i="2"/>
  <c r="O17" i="2"/>
  <c r="O18" i="2" s="1"/>
  <c r="O19" i="2" s="1"/>
  <c r="N17" i="2"/>
  <c r="N18" i="2" s="1"/>
  <c r="K17" i="2"/>
  <c r="K18" i="2" s="1"/>
  <c r="H17" i="2"/>
  <c r="Q14" i="2"/>
  <c r="Q13" i="2"/>
  <c r="Q17" i="2" s="1"/>
  <c r="Q18" i="2" s="1"/>
  <c r="P13" i="2"/>
  <c r="O13" i="2"/>
  <c r="N13" i="2"/>
  <c r="M13" i="2"/>
  <c r="M17" i="2" s="1"/>
  <c r="M18" i="2" s="1"/>
  <c r="M19" i="2" s="1"/>
  <c r="L13" i="2"/>
  <c r="L17" i="2" s="1"/>
  <c r="L18" i="2" s="1"/>
  <c r="K13" i="2"/>
  <c r="K19" i="2" s="1"/>
  <c r="J13" i="2"/>
  <c r="J17" i="2" s="1"/>
  <c r="J18" i="2" s="1"/>
  <c r="I13" i="2"/>
  <c r="H13" i="2"/>
  <c r="Q4" i="2"/>
  <c r="I4" i="2"/>
  <c r="H4" i="2"/>
  <c r="G13" i="2" s="1"/>
  <c r="G4" i="2"/>
  <c r="J3" i="2"/>
  <c r="J4" i="2" s="1"/>
  <c r="J10" i="2" s="1"/>
  <c r="I3" i="2"/>
  <c r="H3" i="2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Q13" i="1"/>
  <c r="P13" i="1"/>
  <c r="P17" i="1" s="1"/>
  <c r="P18" i="1" s="1"/>
  <c r="O13" i="1"/>
  <c r="O17" i="1" s="1"/>
  <c r="O18" i="1" s="1"/>
  <c r="N13" i="1"/>
  <c r="N17" i="1" s="1"/>
  <c r="N18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H13" i="1"/>
  <c r="Q4" i="1"/>
  <c r="G4" i="1"/>
  <c r="H3" i="1"/>
  <c r="I3" i="1" s="1"/>
  <c r="I2" i="1"/>
  <c r="J2" i="1" s="1"/>
  <c r="K2" i="1" s="1"/>
  <c r="L2" i="1" s="1"/>
  <c r="M2" i="1" s="1"/>
  <c r="N2" i="1" s="1"/>
  <c r="O2" i="1" s="1"/>
  <c r="P2" i="1" s="1"/>
  <c r="Q2" i="1" s="1"/>
  <c r="H2" i="1"/>
  <c r="I10" i="3" l="1"/>
  <c r="Q10" i="3"/>
  <c r="O19" i="3"/>
  <c r="K17" i="3"/>
  <c r="K18" i="3" s="1"/>
  <c r="K19" i="3" s="1"/>
  <c r="G10" i="3"/>
  <c r="Q19" i="4"/>
  <c r="H10" i="4"/>
  <c r="H11" i="4" s="1"/>
  <c r="H14" i="4" s="1"/>
  <c r="G13" i="4"/>
  <c r="I17" i="4"/>
  <c r="I18" i="4" s="1"/>
  <c r="I19" i="4" s="1"/>
  <c r="Q17" i="4"/>
  <c r="Q18" i="4" s="1"/>
  <c r="J3" i="4"/>
  <c r="N19" i="4"/>
  <c r="O19" i="4"/>
  <c r="J19" i="3"/>
  <c r="G17" i="3"/>
  <c r="G18" i="3" s="1"/>
  <c r="G19" i="3" s="1"/>
  <c r="G14" i="3"/>
  <c r="N19" i="3"/>
  <c r="H10" i="3"/>
  <c r="H19" i="3"/>
  <c r="P17" i="3"/>
  <c r="P18" i="3" s="1"/>
  <c r="P19" i="3" s="1"/>
  <c r="I17" i="3"/>
  <c r="I18" i="3" s="1"/>
  <c r="I19" i="3" s="1"/>
  <c r="Q17" i="3"/>
  <c r="Q18" i="3" s="1"/>
  <c r="Q19" i="3" s="1"/>
  <c r="M19" i="3"/>
  <c r="L19" i="3"/>
  <c r="J3" i="3"/>
  <c r="I19" i="2"/>
  <c r="G19" i="2"/>
  <c r="G10" i="2"/>
  <c r="G14" i="2"/>
  <c r="G17" i="2"/>
  <c r="G18" i="2" s="1"/>
  <c r="N19" i="2"/>
  <c r="H10" i="2"/>
  <c r="H11" i="2" s="1"/>
  <c r="H14" i="2" s="1"/>
  <c r="Q10" i="2"/>
  <c r="Q19" i="2"/>
  <c r="J19" i="2"/>
  <c r="I17" i="2"/>
  <c r="I18" i="2" s="1"/>
  <c r="I10" i="2"/>
  <c r="I11" i="2" s="1"/>
  <c r="I14" i="2" s="1"/>
  <c r="L19" i="2"/>
  <c r="K3" i="2"/>
  <c r="Q10" i="1"/>
  <c r="P19" i="1"/>
  <c r="I17" i="1"/>
  <c r="I18" i="1" s="1"/>
  <c r="I19" i="1" s="1"/>
  <c r="H17" i="1"/>
  <c r="H18" i="1" s="1"/>
  <c r="H19" i="1" s="1"/>
  <c r="Q17" i="1"/>
  <c r="Q18" i="1" s="1"/>
  <c r="Q19" i="1" s="1"/>
  <c r="I4" i="1"/>
  <c r="I10" i="1" s="1"/>
  <c r="J3" i="1"/>
  <c r="K19" i="1"/>
  <c r="H4" i="1"/>
  <c r="M19" i="1"/>
  <c r="N19" i="1"/>
  <c r="O19" i="1"/>
  <c r="H11" i="3" l="1"/>
  <c r="H14" i="3" s="1"/>
  <c r="J4" i="4"/>
  <c r="J10" i="4" s="1"/>
  <c r="K3" i="4"/>
  <c r="G17" i="4"/>
  <c r="G18" i="4" s="1"/>
  <c r="G19" i="4" s="1"/>
  <c r="G10" i="4"/>
  <c r="G14" i="4"/>
  <c r="J4" i="3"/>
  <c r="J10" i="3" s="1"/>
  <c r="K3" i="3"/>
  <c r="L3" i="2"/>
  <c r="K4" i="2"/>
  <c r="K10" i="2" s="1"/>
  <c r="H10" i="1"/>
  <c r="H11" i="1" s="1"/>
  <c r="H14" i="1" s="1"/>
  <c r="G13" i="1"/>
  <c r="K3" i="1"/>
  <c r="J4" i="1"/>
  <c r="J10" i="1" s="1"/>
  <c r="I11" i="1" s="1"/>
  <c r="I14" i="1" s="1"/>
  <c r="I11" i="4" l="1"/>
  <c r="I14" i="4" s="1"/>
  <c r="K4" i="4"/>
  <c r="K10" i="4" s="1"/>
  <c r="L3" i="4"/>
  <c r="K4" i="3"/>
  <c r="K10" i="3" s="1"/>
  <c r="L3" i="3"/>
  <c r="I11" i="3"/>
  <c r="I14" i="3" s="1"/>
  <c r="L4" i="2"/>
  <c r="L10" i="2" s="1"/>
  <c r="K11" i="2" s="1"/>
  <c r="K14" i="2" s="1"/>
  <c r="M3" i="2"/>
  <c r="J11" i="2"/>
  <c r="J14" i="2" s="1"/>
  <c r="K4" i="1"/>
  <c r="K10" i="1" s="1"/>
  <c r="J11" i="1" s="1"/>
  <c r="J14" i="1" s="1"/>
  <c r="L3" i="1"/>
  <c r="G17" i="1"/>
  <c r="G18" i="1" s="1"/>
  <c r="G19" i="1" s="1"/>
  <c r="G14" i="1"/>
  <c r="G10" i="1"/>
  <c r="L4" i="4" l="1"/>
  <c r="L10" i="4" s="1"/>
  <c r="M3" i="4"/>
  <c r="J11" i="4"/>
  <c r="J14" i="4" s="1"/>
  <c r="L4" i="3"/>
  <c r="L10" i="3" s="1"/>
  <c r="K11" i="3" s="1"/>
  <c r="K14" i="3" s="1"/>
  <c r="M3" i="3"/>
  <c r="J11" i="3"/>
  <c r="J14" i="3" s="1"/>
  <c r="M4" i="2"/>
  <c r="M10" i="2" s="1"/>
  <c r="L11" i="2" s="1"/>
  <c r="L14" i="2" s="1"/>
  <c r="N3" i="2"/>
  <c r="L4" i="1"/>
  <c r="L10" i="1" s="1"/>
  <c r="K11" i="1" s="1"/>
  <c r="K14" i="1" s="1"/>
  <c r="M3" i="1"/>
  <c r="K11" i="4" l="1"/>
  <c r="K14" i="4" s="1"/>
  <c r="N3" i="4"/>
  <c r="M4" i="4"/>
  <c r="M10" i="4" s="1"/>
  <c r="M4" i="3"/>
  <c r="M10" i="3" s="1"/>
  <c r="N3" i="3"/>
  <c r="N4" i="2"/>
  <c r="N10" i="2" s="1"/>
  <c r="O3" i="2"/>
  <c r="N3" i="1"/>
  <c r="M4" i="1"/>
  <c r="M10" i="1" s="1"/>
  <c r="L11" i="1" s="1"/>
  <c r="L14" i="1" s="1"/>
  <c r="N4" i="4" l="1"/>
  <c r="N10" i="4" s="1"/>
  <c r="O3" i="4"/>
  <c r="L11" i="4"/>
  <c r="L14" i="4" s="1"/>
  <c r="L11" i="3"/>
  <c r="L14" i="3" s="1"/>
  <c r="N4" i="3"/>
  <c r="N10" i="3" s="1"/>
  <c r="M11" i="3" s="1"/>
  <c r="M14" i="3" s="1"/>
  <c r="O3" i="3"/>
  <c r="N11" i="2"/>
  <c r="N14" i="2" s="1"/>
  <c r="M11" i="2"/>
  <c r="M14" i="2" s="1"/>
  <c r="O4" i="2"/>
  <c r="O10" i="2" s="1"/>
  <c r="P3" i="2"/>
  <c r="P4" i="2" s="1"/>
  <c r="P10" i="2" s="1"/>
  <c r="P11" i="2" s="1"/>
  <c r="P14" i="2" s="1"/>
  <c r="O3" i="1"/>
  <c r="N4" i="1"/>
  <c r="N10" i="1" s="1"/>
  <c r="M11" i="1" s="1"/>
  <c r="M14" i="1" s="1"/>
  <c r="M11" i="4" l="1"/>
  <c r="M14" i="4" s="1"/>
  <c r="O4" i="4"/>
  <c r="O10" i="4" s="1"/>
  <c r="P3" i="4"/>
  <c r="P4" i="4" s="1"/>
  <c r="P10" i="4" s="1"/>
  <c r="P11" i="4" s="1"/>
  <c r="P14" i="4" s="1"/>
  <c r="O4" i="3"/>
  <c r="O10" i="3" s="1"/>
  <c r="N11" i="3" s="1"/>
  <c r="N14" i="3" s="1"/>
  <c r="P3" i="3"/>
  <c r="P4" i="3" s="1"/>
  <c r="P10" i="3" s="1"/>
  <c r="P11" i="3" s="1"/>
  <c r="P14" i="3" s="1"/>
  <c r="O11" i="2"/>
  <c r="O14" i="2" s="1"/>
  <c r="O4" i="1"/>
  <c r="O10" i="1" s="1"/>
  <c r="P3" i="1"/>
  <c r="P4" i="1" s="1"/>
  <c r="P10" i="1" s="1"/>
  <c r="P11" i="1" s="1"/>
  <c r="P14" i="1" s="1"/>
  <c r="O11" i="4" l="1"/>
  <c r="O14" i="4" s="1"/>
  <c r="N11" i="4"/>
  <c r="N14" i="4" s="1"/>
  <c r="O11" i="3"/>
  <c r="O14" i="3" s="1"/>
  <c r="O11" i="1"/>
  <c r="O14" i="1" s="1"/>
  <c r="N11" i="1"/>
  <c r="N14" i="1" s="1"/>
</calcChain>
</file>

<file path=xl/sharedStrings.xml><?xml version="1.0" encoding="utf-8"?>
<sst xmlns="http://schemas.openxmlformats.org/spreadsheetml/2006/main" count="108" uniqueCount="22">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</sst>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2" xfId="0" applyBorder="1"/>
    <xf numFmtId="164" fontId="0" fillId="0" borderId="2" xfId="0" applyNumberFormat="1" applyBorder="1"/>
    <xf numFmtId="0" fontId="0" fillId="3" borderId="2" xfId="0" applyFill="1" applyBorder="1"/>
    <xf numFmtId="0" fontId="0" fillId="4" borderId="2" xfId="0" applyFill="1" applyBorder="1"/>
    <xf numFmtId="0" fontId="1" fillId="5" borderId="1" xfId="1" applyFill="1"/>
    <xf numFmtId="0" fontId="3" fillId="0" borderId="0" xfId="1" applyFont="1" applyFill="1" applyBorder="1"/>
    <xf numFmtId="0" fontId="0" fillId="0" borderId="0" xfId="0" applyBorder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96-4524-A5BE-71B1F9053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80096"/>
        <c:axId val="70581632"/>
      </c:lineChart>
      <c:catAx>
        <c:axId val="70580096"/>
        <c:scaling>
          <c:orientation val="minMax"/>
        </c:scaling>
        <c:delete val="0"/>
        <c:axPos val="b"/>
        <c:majorTickMark val="out"/>
        <c:minorTickMark val="none"/>
        <c:tickLblPos val="nextTo"/>
        <c:crossAx val="70581632"/>
        <c:crosses val="autoZero"/>
        <c:auto val="1"/>
        <c:lblAlgn val="ctr"/>
        <c:lblOffset val="100"/>
        <c:noMultiLvlLbl val="0"/>
      </c:catAx>
      <c:valAx>
        <c:axId val="7058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800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A0-41FB-A7A7-57C4FB0BF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18976"/>
        <c:axId val="97920512"/>
      </c:lineChart>
      <c:catAx>
        <c:axId val="97918976"/>
        <c:scaling>
          <c:orientation val="minMax"/>
        </c:scaling>
        <c:delete val="0"/>
        <c:axPos val="b"/>
        <c:majorTickMark val="out"/>
        <c:minorTickMark val="none"/>
        <c:tickLblPos val="nextTo"/>
        <c:crossAx val="97920512"/>
        <c:crosses val="autoZero"/>
        <c:auto val="1"/>
        <c:lblAlgn val="ctr"/>
        <c:lblOffset val="100"/>
        <c:noMultiLvlLbl val="0"/>
      </c:catAx>
      <c:valAx>
        <c:axId val="97920512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79189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5F0-429D-9FA6-90DADD87B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45088"/>
        <c:axId val="97946624"/>
      </c:lineChart>
      <c:catAx>
        <c:axId val="9794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97946624"/>
        <c:crosses val="autoZero"/>
        <c:auto val="1"/>
        <c:lblAlgn val="ctr"/>
        <c:lblOffset val="100"/>
        <c:noMultiLvlLbl val="0"/>
      </c:catAx>
      <c:valAx>
        <c:axId val="9794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94508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19-4FE2-B396-753D38702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63392"/>
        <c:axId val="111350912"/>
      </c:lineChart>
      <c:catAx>
        <c:axId val="9796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11350912"/>
        <c:crosses val="autoZero"/>
        <c:auto val="1"/>
        <c:lblAlgn val="ctr"/>
        <c:lblOffset val="100"/>
        <c:noMultiLvlLbl val="0"/>
      </c:catAx>
      <c:valAx>
        <c:axId val="11135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9633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B1-40CA-89C0-E8C5C09BA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61440"/>
        <c:axId val="98862976"/>
      </c:lineChart>
      <c:catAx>
        <c:axId val="98861440"/>
        <c:scaling>
          <c:orientation val="minMax"/>
        </c:scaling>
        <c:delete val="0"/>
        <c:axPos val="b"/>
        <c:majorTickMark val="out"/>
        <c:minorTickMark val="none"/>
        <c:tickLblPos val="nextTo"/>
        <c:crossAx val="98862976"/>
        <c:crosses val="autoZero"/>
        <c:auto val="1"/>
        <c:lblAlgn val="ctr"/>
        <c:lblOffset val="100"/>
        <c:noMultiLvlLbl val="0"/>
      </c:catAx>
      <c:valAx>
        <c:axId val="9886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8614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ro_var!$G$10:$Q$10</c:f>
              <c:numCache>
                <c:formatCode>0.000</c:formatCode>
                <c:ptCount val="11"/>
                <c:pt idx="0">
                  <c:v>1.330578576341181</c:v>
                </c:pt>
                <c:pt idx="1">
                  <c:v>1.3305785994614194</c:v>
                </c:pt>
                <c:pt idx="2">
                  <c:v>1.3305799081348795</c:v>
                </c:pt>
                <c:pt idx="3">
                  <c:v>1.330581942782141</c:v>
                </c:pt>
                <c:pt idx="4">
                  <c:v>1.3305844284281223</c:v>
                </c:pt>
                <c:pt idx="5">
                  <c:v>1.3305870590693754</c:v>
                </c:pt>
                <c:pt idx="6">
                  <c:v>1.3305895227397542</c:v>
                </c:pt>
                <c:pt idx="7">
                  <c:v>1.3305915421098378</c:v>
                </c:pt>
                <c:pt idx="8">
                  <c:v>1.3305929300971522</c:v>
                </c:pt>
                <c:pt idx="9">
                  <c:v>1.3305936507057201</c:v>
                </c:pt>
                <c:pt idx="10">
                  <c:v>1.3305938574595206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33-454B-90FA-6A4C4D5F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82848"/>
        <c:axId val="111988736"/>
      </c:lineChart>
      <c:catAx>
        <c:axId val="111982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1988736"/>
        <c:crosses val="autoZero"/>
        <c:auto val="1"/>
        <c:lblAlgn val="ctr"/>
        <c:lblOffset val="100"/>
        <c:noMultiLvlLbl val="0"/>
      </c:catAx>
      <c:valAx>
        <c:axId val="111988736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19828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ro_var!$G$14:$Q$14</c:f>
              <c:numCache>
                <c:formatCode>General</c:formatCode>
                <c:ptCount val="11"/>
                <c:pt idx="0">
                  <c:v>133152.12319636837</c:v>
                </c:pt>
                <c:pt idx="1">
                  <c:v>132690.49856125729</c:v>
                </c:pt>
                <c:pt idx="2">
                  <c:v>132086.63987513504</c:v>
                </c:pt>
                <c:pt idx="3">
                  <c:v>131284.79891227561</c:v>
                </c:pt>
                <c:pt idx="4">
                  <c:v>130202.05467659258</c:v>
                </c:pt>
                <c:pt idx="5">
                  <c:v>128712.09747995976</c:v>
                </c:pt>
                <c:pt idx="6">
                  <c:v>126617.27960642624</c:v>
                </c:pt>
                <c:pt idx="7">
                  <c:v>123598.70791569991</c:v>
                </c:pt>
                <c:pt idx="8">
                  <c:v>119123.4466642045</c:v>
                </c:pt>
                <c:pt idx="9">
                  <c:v>112263.7262230605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93-4DD7-AF19-DABFE398A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998848"/>
        <c:axId val="112000384"/>
      </c:lineChart>
      <c:catAx>
        <c:axId val="111998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000384"/>
        <c:crosses val="autoZero"/>
        <c:auto val="1"/>
        <c:lblAlgn val="ctr"/>
        <c:lblOffset val="100"/>
        <c:noMultiLvlLbl val="0"/>
      </c:catAx>
      <c:valAx>
        <c:axId val="11200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9988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ro_var!$G$13:$Q$13</c:f>
              <c:numCache>
                <c:formatCode>General</c:formatCode>
                <c:ptCount val="11"/>
                <c:pt idx="0">
                  <c:v>55.846033121538973</c:v>
                </c:pt>
                <c:pt idx="1">
                  <c:v>62.141462415071146</c:v>
                </c:pt>
                <c:pt idx="2">
                  <c:v>69.532561583407571</c:v>
                </c:pt>
                <c:pt idx="3">
                  <c:v>78.286714201119125</c:v>
                </c:pt>
                <c:pt idx="4">
                  <c:v>88.757833031048818</c:v>
                </c:pt>
                <c:pt idx="5">
                  <c:v>101.42217800047841</c:v>
                </c:pt>
                <c:pt idx="6">
                  <c:v>116.93275674215805</c:v>
                </c:pt>
                <c:pt idx="7">
                  <c:v>136.20415562326261</c:v>
                </c:pt>
                <c:pt idx="8">
                  <c:v>160.54891592983591</c:v>
                </c:pt>
                <c:pt idx="9">
                  <c:v>191.90459326202193</c:v>
                </c:pt>
                <c:pt idx="10">
                  <c:v>233.2275216546206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893-4B14-A27A-82957685A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621248"/>
        <c:axId val="109622784"/>
      </c:lineChart>
      <c:catAx>
        <c:axId val="109621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9622784"/>
        <c:crosses val="autoZero"/>
        <c:auto val="1"/>
        <c:lblAlgn val="ctr"/>
        <c:lblOffset val="100"/>
        <c:noMultiLvlLbl val="0"/>
      </c:catAx>
      <c:valAx>
        <c:axId val="10962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6212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3B-4CA2-86AE-3CC5551D9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61056"/>
        <c:axId val="112062848"/>
      </c:lineChart>
      <c:catAx>
        <c:axId val="112061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2062848"/>
        <c:crosses val="autoZero"/>
        <c:auto val="1"/>
        <c:lblAlgn val="ctr"/>
        <c:lblOffset val="100"/>
        <c:noMultiLvlLbl val="0"/>
      </c:catAx>
      <c:valAx>
        <c:axId val="11206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0610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ro_const_p105!$G$10:$Q$10</c:f>
              <c:numCache>
                <c:formatCode>0.000</c:formatCode>
                <c:ptCount val="11"/>
                <c:pt idx="0">
                  <c:v>0.96864668075156068</c:v>
                </c:pt>
                <c:pt idx="1">
                  <c:v>0.96820782360895974</c:v>
                </c:pt>
                <c:pt idx="2">
                  <c:v>0.9439919201489263</c:v>
                </c:pt>
                <c:pt idx="3">
                  <c:v>0.92277981081889948</c:v>
                </c:pt>
                <c:pt idx="4">
                  <c:v>0.90504473096929816</c:v>
                </c:pt>
                <c:pt idx="5">
                  <c:v>0.89118044820643061</c:v>
                </c:pt>
                <c:pt idx="6">
                  <c:v>0.88139653257959316</c:v>
                </c:pt>
                <c:pt idx="7">
                  <c:v>0.87557743455575399</c:v>
                </c:pt>
                <c:pt idx="8">
                  <c:v>0.87313386171622731</c:v>
                </c:pt>
                <c:pt idx="9">
                  <c:v>0.87293298379820927</c:v>
                </c:pt>
                <c:pt idx="10">
                  <c:v>0.87347290048585724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A8-4ACE-B3B1-EF8BB7E28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201344"/>
        <c:axId val="114202880"/>
      </c:lineChart>
      <c:catAx>
        <c:axId val="114201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202880"/>
        <c:crosses val="autoZero"/>
        <c:auto val="1"/>
        <c:lblAlgn val="ctr"/>
        <c:lblOffset val="100"/>
        <c:noMultiLvlLbl val="0"/>
      </c:catAx>
      <c:valAx>
        <c:axId val="114202880"/>
        <c:scaling>
          <c:orientation val="minMax"/>
          <c:min val="0.8600000000000001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420134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ro_const_p105!$G$14:$Q$14</c:f>
              <c:numCache>
                <c:formatCode>General</c:formatCode>
                <c:ptCount val="11"/>
                <c:pt idx="0">
                  <c:v>114020.68422589521</c:v>
                </c:pt>
                <c:pt idx="1">
                  <c:v>113789.59219882425</c:v>
                </c:pt>
                <c:pt idx="2">
                  <c:v>113566.37945752838</c:v>
                </c:pt>
                <c:pt idx="3">
                  <c:v>113270.32895564877</c:v>
                </c:pt>
                <c:pt idx="4">
                  <c:v>112867.89622242545</c:v>
                </c:pt>
                <c:pt idx="5">
                  <c:v>112306.54351526755</c:v>
                </c:pt>
                <c:pt idx="6">
                  <c:v>111502.4735526233</c:v>
                </c:pt>
                <c:pt idx="7">
                  <c:v>110319.64040564394</c:v>
                </c:pt>
                <c:pt idx="8">
                  <c:v>108532.91350694545</c:v>
                </c:pt>
                <c:pt idx="9">
                  <c:v>105760.11634917959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05-40C2-BD58-B1F6A4A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227456"/>
        <c:axId val="114298880"/>
      </c:lineChart>
      <c:catAx>
        <c:axId val="11422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4298880"/>
        <c:crosses val="autoZero"/>
        <c:auto val="1"/>
        <c:lblAlgn val="ctr"/>
        <c:lblOffset val="100"/>
        <c:noMultiLvlLbl val="0"/>
      </c:catAx>
      <c:valAx>
        <c:axId val="1142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2274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ro_const_p105!$G$13:$Q$13</c:f>
              <c:numCache>
                <c:formatCode>General</c:formatCode>
                <c:ptCount val="11"/>
                <c:pt idx="0">
                  <c:v>40.655302571510539</c:v>
                </c:pt>
                <c:pt idx="1">
                  <c:v>45.027017388294311</c:v>
                </c:pt>
                <c:pt idx="2">
                  <c:v>48.914211963624318</c:v>
                </c:pt>
                <c:pt idx="3">
                  <c:v>53.60583135401864</c:v>
                </c:pt>
                <c:pt idx="4">
                  <c:v>59.352890399623568</c:v>
                </c:pt>
                <c:pt idx="5">
                  <c:v>66.495908822739949</c:v>
                </c:pt>
                <c:pt idx="6">
                  <c:v>75.496542120952341</c:v>
                </c:pt>
                <c:pt idx="7">
                  <c:v>86.980049415317737</c:v>
                </c:pt>
                <c:pt idx="8">
                  <c:v>101.79586415337342</c:v>
                </c:pt>
                <c:pt idx="9">
                  <c:v>121.1176198342248</c:v>
                </c:pt>
                <c:pt idx="10">
                  <c:v>146.64296389149723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AE-4667-8AAB-75E94B70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23840"/>
        <c:axId val="114325376"/>
      </c:lineChart>
      <c:catAx>
        <c:axId val="11432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4325376"/>
        <c:crosses val="autoZero"/>
        <c:auto val="1"/>
        <c:lblAlgn val="ctr"/>
        <c:lblOffset val="100"/>
        <c:noMultiLvlLbl val="0"/>
      </c:catAx>
      <c:valAx>
        <c:axId val="1143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3238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D1-4224-BDD8-266AC3CD4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880512"/>
        <c:axId val="114344704"/>
      </c:lineChart>
      <c:catAx>
        <c:axId val="98880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344704"/>
        <c:crosses val="autoZero"/>
        <c:auto val="1"/>
        <c:lblAlgn val="ctr"/>
        <c:lblOffset val="100"/>
        <c:noMultiLvlLbl val="0"/>
      </c:catAx>
      <c:valAx>
        <c:axId val="11434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88051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ro_var_p105!$G$10:$Q$10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1D-40D7-8BEA-54BD7F0EB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79936"/>
        <c:axId val="117881472"/>
      </c:lineChart>
      <c:catAx>
        <c:axId val="117879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881472"/>
        <c:crosses val="autoZero"/>
        <c:auto val="1"/>
        <c:lblAlgn val="ctr"/>
        <c:lblOffset val="100"/>
        <c:noMultiLvlLbl val="0"/>
      </c:catAx>
      <c:valAx>
        <c:axId val="117881472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78799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ro_var_p105!$G$14:$Q$14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1F-4923-A75C-EFDCAB32F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71264"/>
        <c:axId val="117781248"/>
      </c:lineChart>
      <c:catAx>
        <c:axId val="117771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7781248"/>
        <c:crosses val="autoZero"/>
        <c:auto val="1"/>
        <c:lblAlgn val="ctr"/>
        <c:lblOffset val="100"/>
        <c:noMultiLvlLbl val="0"/>
      </c:catAx>
      <c:valAx>
        <c:axId val="11778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7712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ro_var_p105!$G$13:$Q$13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79-40BB-8F52-7743F6081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06208"/>
        <c:axId val="117807744"/>
      </c:lineChart>
      <c:catAx>
        <c:axId val="11780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7807744"/>
        <c:crosses val="autoZero"/>
        <c:auto val="1"/>
        <c:lblAlgn val="ctr"/>
        <c:lblOffset val="100"/>
        <c:noMultiLvlLbl val="0"/>
      </c:catAx>
      <c:valAx>
        <c:axId val="11780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8062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Нажми на кнопку - получишь результат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32</xdr:row>
      <xdr:rowOff>148590</xdr:rowOff>
    </xdr:from>
    <xdr:to>
      <xdr:col>6</xdr:col>
      <xdr:colOff>24765</xdr:colOff>
      <xdr:row>48</xdr:row>
      <xdr:rowOff>156210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59056</xdr:colOff>
      <xdr:row>19</xdr:row>
      <xdr:rowOff>175259</xdr:rowOff>
    </xdr:from>
    <xdr:to>
      <xdr:col>10</xdr:col>
      <xdr:colOff>356236</xdr:colOff>
      <xdr:row>33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Нажми на кнопку - получишь результат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R26"/>
  <sheetViews>
    <sheetView topLeftCell="D13" workbookViewId="0">
      <selection activeCell="L32" sqref="L32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57.428248184760704</v>
      </c>
      <c r="H5" s="2">
        <v>63.632407960953699</v>
      </c>
      <c r="I5" s="2">
        <v>70.899071833026269</v>
      </c>
      <c r="J5" s="2">
        <v>79.485464615561398</v>
      </c>
      <c r="K5" s="2">
        <v>89.731637788649905</v>
      </c>
      <c r="L5" s="2">
        <v>102.09466343952555</v>
      </c>
      <c r="M5" s="2">
        <v>117.2005064994591</v>
      </c>
      <c r="N5" s="2">
        <v>135.92484777452665</v>
      </c>
      <c r="O5" s="2">
        <v>159.52291162427707</v>
      </c>
      <c r="P5" s="2">
        <v>189.84544854460057</v>
      </c>
      <c r="Q5" s="2">
        <v>229.71299273897273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133045.93281392951</v>
      </c>
      <c r="H6" s="2">
        <v>132578.11184719813</v>
      </c>
      <c r="I6" s="2">
        <v>131967.60017443288</v>
      </c>
      <c r="J6" s="2">
        <v>131158.84547209844</v>
      </c>
      <c r="K6" s="2">
        <v>130069.34948073192</v>
      </c>
      <c r="L6" s="2">
        <v>128573.64373337128</v>
      </c>
      <c r="M6" s="2">
        <v>126475.7049709665</v>
      </c>
      <c r="N6" s="2">
        <v>123459.75763453866</v>
      </c>
      <c r="O6" s="2">
        <v>118998.90588753944</v>
      </c>
      <c r="P6" s="2">
        <v>112177.34007470035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135000</v>
      </c>
      <c r="F10" s="2" t="s">
        <v>14</v>
      </c>
      <c r="G10" s="3">
        <f>G4*G7*G13</f>
        <v>1.3682761772022025</v>
      </c>
      <c r="H10" s="3">
        <f>H4*H7*H13</f>
        <v>1.3682761772022023</v>
      </c>
      <c r="I10" s="3">
        <f t="shared" ref="I10:Q10" si="3">I4*I7*I13</f>
        <v>1.3682761772019776</v>
      </c>
      <c r="J10" s="3">
        <f t="shared" si="3"/>
        <v>1.3682761772017826</v>
      </c>
      <c r="K10" s="3">
        <f t="shared" si="3"/>
        <v>1.3682761772016117</v>
      </c>
      <c r="L10" s="3">
        <f t="shared" si="3"/>
        <v>1.3682761772015444</v>
      </c>
      <c r="M10" s="3">
        <f t="shared" si="3"/>
        <v>1.3682761772015879</v>
      </c>
      <c r="N10" s="3">
        <f t="shared" si="3"/>
        <v>1.3682761772016485</v>
      </c>
      <c r="O10" s="3">
        <f t="shared" si="3"/>
        <v>1.3682761772017016</v>
      </c>
      <c r="P10" s="3">
        <f t="shared" si="3"/>
        <v>1.3682761772017469</v>
      </c>
      <c r="Q10" s="3">
        <f t="shared" si="3"/>
        <v>1.3682761772017846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1.4298783680751804E-11</v>
      </c>
      <c r="I11" s="3">
        <f t="shared" ref="I11:P11" si="4">(I13)*(I10-J10)</f>
        <v>1.3822140114560414E-11</v>
      </c>
      <c r="J11" s="3">
        <f t="shared" si="4"/>
        <v>1.3589975312640562E-11</v>
      </c>
      <c r="K11" s="3">
        <f t="shared" si="4"/>
        <v>6.0371010968032034E-12</v>
      </c>
      <c r="L11" s="3">
        <f t="shared" si="4"/>
        <v>-4.4432355648431638E-12</v>
      </c>
      <c r="M11" s="3">
        <f t="shared" si="4"/>
        <v>-7.1044810644132678E-12</v>
      </c>
      <c r="N11" s="3">
        <f t="shared" si="4"/>
        <v>-7.2133496105379602E-12</v>
      </c>
      <c r="O11" s="3">
        <f t="shared" si="4"/>
        <v>-7.2259251851730708E-12</v>
      </c>
      <c r="P11" s="3">
        <f t="shared" si="4"/>
        <v>-7.1662067952132033E-12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57.428248184760719</v>
      </c>
      <c r="H13" s="2">
        <f t="shared" ref="H13:Q13" si="5">((G6-H6)/H7+G5*H5)^0.5</f>
        <v>63.632407960953707</v>
      </c>
      <c r="I13" s="2">
        <f t="shared" si="5"/>
        <v>70.899071833026269</v>
      </c>
      <c r="J13" s="2">
        <f t="shared" si="5"/>
        <v>79.485464615561398</v>
      </c>
      <c r="K13" s="2">
        <f t="shared" si="5"/>
        <v>89.731637788649905</v>
      </c>
      <c r="L13" s="2">
        <f t="shared" si="5"/>
        <v>102.09466343952555</v>
      </c>
      <c r="M13" s="2">
        <f t="shared" si="5"/>
        <v>117.20050649945911</v>
      </c>
      <c r="N13" s="2">
        <f t="shared" si="5"/>
        <v>135.92484777452665</v>
      </c>
      <c r="O13" s="2">
        <f t="shared" si="5"/>
        <v>159.52291162427707</v>
      </c>
      <c r="P13" s="2">
        <f t="shared" si="5"/>
        <v>189.84544854460057</v>
      </c>
      <c r="Q13" s="2">
        <f t="shared" si="5"/>
        <v>229.71299273897273</v>
      </c>
    </row>
    <row r="14" spans="2:17" ht="14.45" x14ac:dyDescent="0.3">
      <c r="B14" s="6" t="s">
        <v>8</v>
      </c>
      <c r="C14" s="6">
        <v>2000</v>
      </c>
      <c r="F14" s="2" t="s">
        <v>7</v>
      </c>
      <c r="G14" s="5">
        <f>C10-(G7*G13^2)/2</f>
        <v>133045.93281392948</v>
      </c>
      <c r="H14" s="2">
        <f>H6+H11</f>
        <v>132578.11184719813</v>
      </c>
      <c r="I14" s="2">
        <f t="shared" ref="I14:Q14" si="6">I6+I11</f>
        <v>131967.60017443288</v>
      </c>
      <c r="J14" s="2">
        <f t="shared" si="6"/>
        <v>131158.84547209844</v>
      </c>
      <c r="K14" s="2">
        <f t="shared" si="6"/>
        <v>130069.34948073192</v>
      </c>
      <c r="L14" s="2">
        <f t="shared" si="6"/>
        <v>128573.64373337128</v>
      </c>
      <c r="M14" s="2">
        <f t="shared" si="6"/>
        <v>126475.7049709665</v>
      </c>
      <c r="N14" s="2">
        <f t="shared" si="6"/>
        <v>123459.75763453866</v>
      </c>
      <c r="O14" s="2">
        <f t="shared" si="6"/>
        <v>118998.90588753944</v>
      </c>
      <c r="P14" s="2">
        <f t="shared" si="6"/>
        <v>112177.34007470035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7" spans="6:18" ht="14.45" x14ac:dyDescent="0.3">
      <c r="F17" s="2" t="s">
        <v>16</v>
      </c>
      <c r="G17" s="2">
        <f>$C$11-(G13^2)/(2*$C$8)</f>
        <v>286.51822197850936</v>
      </c>
      <c r="H17" s="2">
        <f t="shared" ref="H17:Q17" si="7">$C$11-(H13^2)/(2*$C$8)</f>
        <v>286.14432728847612</v>
      </c>
      <c r="I17" s="2">
        <f t="shared" si="7"/>
        <v>285.65767105397026</v>
      </c>
      <c r="J17" s="2">
        <f t="shared" si="7"/>
        <v>285.01486903367601</v>
      </c>
      <c r="K17" s="2">
        <f t="shared" si="7"/>
        <v>284.15175287722349</v>
      </c>
      <c r="L17" s="2">
        <f t="shared" si="7"/>
        <v>282.97117069751596</v>
      </c>
      <c r="M17" s="2">
        <f t="shared" si="7"/>
        <v>281.32210736572597</v>
      </c>
      <c r="N17" s="2">
        <f t="shared" si="7"/>
        <v>278.96268606007158</v>
      </c>
      <c r="O17" s="2">
        <f t="shared" si="7"/>
        <v>275.49195971072936</v>
      </c>
      <c r="P17" s="2">
        <f t="shared" si="7"/>
        <v>270.21829632959953</v>
      </c>
      <c r="Q17" s="2">
        <f t="shared" si="7"/>
        <v>261.89155165616523</v>
      </c>
      <c r="R17" s="1"/>
    </row>
    <row r="18" spans="6:18" ht="14.45" x14ac:dyDescent="0.3">
      <c r="F18" s="2" t="s">
        <v>17</v>
      </c>
      <c r="G18" s="2">
        <f>SQRT($C$6*$C$7*G17)</f>
        <v>339.28128459533912</v>
      </c>
      <c r="H18" s="2">
        <f t="shared" ref="H18:Q18" si="8">SQRT($C$6*$C$7*H17)</f>
        <v>339.05983815084909</v>
      </c>
      <c r="I18" s="2">
        <f t="shared" si="8"/>
        <v>338.77138965500012</v>
      </c>
      <c r="J18" s="2">
        <f t="shared" si="8"/>
        <v>338.39001432498696</v>
      </c>
      <c r="K18" s="2">
        <f t="shared" si="8"/>
        <v>337.8772492449819</v>
      </c>
      <c r="L18" s="2">
        <f t="shared" si="8"/>
        <v>337.17461932412789</v>
      </c>
      <c r="M18" s="2">
        <f t="shared" si="8"/>
        <v>336.19071211581672</v>
      </c>
      <c r="N18" s="2">
        <f t="shared" si="8"/>
        <v>334.77794419830468</v>
      </c>
      <c r="O18" s="2">
        <f t="shared" si="8"/>
        <v>332.68884881665389</v>
      </c>
      <c r="P18" s="2">
        <f t="shared" si="8"/>
        <v>329.48917874190795</v>
      </c>
      <c r="Q18" s="2">
        <f t="shared" si="8"/>
        <v>324.37287079320038</v>
      </c>
    </row>
    <row r="19" spans="6:18" ht="14.45" x14ac:dyDescent="0.3">
      <c r="F19" s="2" t="s">
        <v>18</v>
      </c>
      <c r="G19" s="2">
        <f>G13/G18</f>
        <v>0.16926441508041154</v>
      </c>
      <c r="H19" s="2">
        <f t="shared" ref="H19:Q19" si="9">H13/H18</f>
        <v>0.18767309129854357</v>
      </c>
      <c r="I19" s="2">
        <f t="shared" si="9"/>
        <v>0.20928293828244723</v>
      </c>
      <c r="J19" s="2">
        <f t="shared" si="9"/>
        <v>0.23489305609125988</v>
      </c>
      <c r="K19" s="2">
        <f t="shared" si="9"/>
        <v>0.26557466650732947</v>
      </c>
      <c r="L19" s="2">
        <f t="shared" si="9"/>
        <v>0.30279462803035412</v>
      </c>
      <c r="M19" s="2">
        <f t="shared" si="9"/>
        <v>0.34861315995869591</v>
      </c>
      <c r="N19" s="2">
        <f t="shared" si="9"/>
        <v>0.4060149425316143</v>
      </c>
      <c r="O19" s="2">
        <f t="shared" si="9"/>
        <v>0.47949581776391537</v>
      </c>
      <c r="P19" s="2">
        <f t="shared" si="9"/>
        <v>0.57618113368545054</v>
      </c>
      <c r="Q19" s="2">
        <f t="shared" si="9"/>
        <v>0.70817572436698384</v>
      </c>
    </row>
    <row r="22" spans="6:18" x14ac:dyDescent="0.25">
      <c r="L22" s="8"/>
      <c r="M22" s="8"/>
      <c r="N22" s="8"/>
      <c r="O22" s="8"/>
      <c r="P22" s="8"/>
      <c r="Q22" s="8"/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R26"/>
  <sheetViews>
    <sheetView workbookViewId="0">
      <selection activeCell="K24" sqref="K24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55.846032157462993</v>
      </c>
      <c r="H5" s="2">
        <v>62.141461335296199</v>
      </c>
      <c r="I5" s="2">
        <v>69.532559946852786</v>
      </c>
      <c r="J5" s="2">
        <v>78.286712206181235</v>
      </c>
      <c r="K5" s="2">
        <v>88.757830904125129</v>
      </c>
      <c r="L5" s="2">
        <v>101.42217597723537</v>
      </c>
      <c r="M5" s="2">
        <v>116.93275503658897</v>
      </c>
      <c r="N5" s="2">
        <v>136.2041543848411</v>
      </c>
      <c r="O5" s="2">
        <v>160.54891519620145</v>
      </c>
      <c r="P5" s="2">
        <v>191.90459292824883</v>
      </c>
      <c r="Q5" s="2">
        <v>233.22752149835543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133152.12326016856</v>
      </c>
      <c r="H6" s="2">
        <v>132690.49864258018</v>
      </c>
      <c r="I6" s="2">
        <v>132086.64001660928</v>
      </c>
      <c r="J6" s="2">
        <v>131284.79910686868</v>
      </c>
      <c r="K6" s="2">
        <v>130202.0549100826</v>
      </c>
      <c r="L6" s="2">
        <v>128712.09772983058</v>
      </c>
      <c r="M6" s="2">
        <v>126617.27984255675</v>
      </c>
      <c r="N6" s="2">
        <v>123598.70810474954</v>
      </c>
      <c r="O6" s="2">
        <v>119123.44677989742</v>
      </c>
      <c r="P6" s="2">
        <v>112263.7262627375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</v>
      </c>
      <c r="I7" s="2">
        <v>1.175</v>
      </c>
      <c r="J7" s="2">
        <v>1.17</v>
      </c>
      <c r="K7" s="2">
        <v>1.165</v>
      </c>
      <c r="L7" s="2">
        <v>1.1599999999999999</v>
      </c>
      <c r="M7" s="2">
        <v>1.155</v>
      </c>
      <c r="N7" s="2">
        <v>1.1499999999999999</v>
      </c>
      <c r="O7" s="2">
        <v>1.145</v>
      </c>
      <c r="P7" s="2">
        <v>1.1399999999999999</v>
      </c>
      <c r="Q7" s="2">
        <v>1.135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135000</v>
      </c>
      <c r="F10" s="2" t="s">
        <v>14</v>
      </c>
      <c r="G10" s="3">
        <f>G4*G7*G13</f>
        <v>1.330578576341181</v>
      </c>
      <c r="H10" s="3">
        <f>H4*H7*H13</f>
        <v>1.3305785994614194</v>
      </c>
      <c r="I10" s="3">
        <f t="shared" ref="I10:Q10" si="3">I4*I7*I13</f>
        <v>1.3305799081348795</v>
      </c>
      <c r="J10" s="3">
        <f t="shared" si="3"/>
        <v>1.330581942782141</v>
      </c>
      <c r="K10" s="3">
        <f t="shared" si="3"/>
        <v>1.3305844284281223</v>
      </c>
      <c r="L10" s="3">
        <f t="shared" si="3"/>
        <v>1.3305870590693754</v>
      </c>
      <c r="M10" s="3">
        <f t="shared" si="3"/>
        <v>1.3305895227397542</v>
      </c>
      <c r="N10" s="3">
        <f t="shared" si="3"/>
        <v>1.3305915421098378</v>
      </c>
      <c r="O10" s="3">
        <f t="shared" si="3"/>
        <v>1.3305929300971522</v>
      </c>
      <c r="P10" s="3">
        <f t="shared" si="3"/>
        <v>1.3305936507057201</v>
      </c>
      <c r="Q10" s="3">
        <f t="shared" si="3"/>
        <v>1.3305938574595206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-8.1322882630872678E-5</v>
      </c>
      <c r="I11" s="3">
        <f t="shared" ref="I11:P11" si="4">(I13)*(I10-J10)</f>
        <v>-1.4147423601505553E-4</v>
      </c>
      <c r="J11" s="3">
        <f t="shared" si="4"/>
        <v>-1.9459305654045291E-4</v>
      </c>
      <c r="K11" s="3">
        <f t="shared" si="4"/>
        <v>-2.3349001710316683E-4</v>
      </c>
      <c r="L11" s="3">
        <f t="shared" si="4"/>
        <v>-2.4987081569479444E-4</v>
      </c>
      <c r="M11" s="3">
        <f t="shared" si="4"/>
        <v>-2.3613051075736474E-4</v>
      </c>
      <c r="N11" s="3">
        <f t="shared" si="4"/>
        <v>-1.8904964017586528E-4</v>
      </c>
      <c r="O11" s="3">
        <f t="shared" si="4"/>
        <v>-1.1569292439057312E-4</v>
      </c>
      <c r="P11" s="3">
        <f t="shared" si="4"/>
        <v>-3.9677003995049625E-5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55.846033121538973</v>
      </c>
      <c r="H13" s="2">
        <f t="shared" ref="H13:Q13" si="5">((G6-H6)/H7+G5*H5)^0.5</f>
        <v>62.141462415071146</v>
      </c>
      <c r="I13" s="2">
        <f t="shared" si="5"/>
        <v>69.532561583407571</v>
      </c>
      <c r="J13" s="2">
        <f t="shared" si="5"/>
        <v>78.286714201119125</v>
      </c>
      <c r="K13" s="2">
        <f t="shared" si="5"/>
        <v>88.757833031048818</v>
      </c>
      <c r="L13" s="2">
        <f t="shared" si="5"/>
        <v>101.42217800047841</v>
      </c>
      <c r="M13" s="2">
        <f t="shared" si="5"/>
        <v>116.93275674215805</v>
      </c>
      <c r="N13" s="2">
        <f t="shared" si="5"/>
        <v>136.20415562326261</v>
      </c>
      <c r="O13" s="2">
        <f t="shared" si="5"/>
        <v>160.54891592983591</v>
      </c>
      <c r="P13" s="2">
        <f t="shared" si="5"/>
        <v>191.90459326202193</v>
      </c>
      <c r="Q13" s="2">
        <f t="shared" si="5"/>
        <v>233.2275216546206</v>
      </c>
    </row>
    <row r="14" spans="2:17" ht="14.45" x14ac:dyDescent="0.3">
      <c r="B14" s="6" t="s">
        <v>8</v>
      </c>
      <c r="C14" s="6">
        <v>2000</v>
      </c>
      <c r="F14" s="2" t="s">
        <v>7</v>
      </c>
      <c r="G14" s="5">
        <f>C10-(G7*G13^2)/2</f>
        <v>133152.12319636837</v>
      </c>
      <c r="H14" s="2">
        <f>H6+H11</f>
        <v>132690.49856125729</v>
      </c>
      <c r="I14" s="2">
        <f t="shared" ref="I14:Q14" si="6">I6+I11</f>
        <v>132086.63987513504</v>
      </c>
      <c r="J14" s="2">
        <f t="shared" si="6"/>
        <v>131284.79891227561</v>
      </c>
      <c r="K14" s="2">
        <f t="shared" si="6"/>
        <v>130202.05467659258</v>
      </c>
      <c r="L14" s="2">
        <f t="shared" si="6"/>
        <v>128712.09747995976</v>
      </c>
      <c r="M14" s="2">
        <f t="shared" si="6"/>
        <v>126617.27960642624</v>
      </c>
      <c r="N14" s="2">
        <f t="shared" si="6"/>
        <v>123598.70791569991</v>
      </c>
      <c r="O14" s="2">
        <f t="shared" si="6"/>
        <v>119123.4466642045</v>
      </c>
      <c r="P14" s="2">
        <f t="shared" si="6"/>
        <v>112263.7262230605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</v>
      </c>
      <c r="I15" s="2">
        <v>1.175</v>
      </c>
      <c r="J15" s="2">
        <v>1.17</v>
      </c>
      <c r="K15" s="2">
        <v>1.165</v>
      </c>
      <c r="L15" s="2">
        <v>1.1599999999999999</v>
      </c>
      <c r="M15" s="2">
        <v>1.155</v>
      </c>
      <c r="N15" s="2">
        <v>1.1499999999999999</v>
      </c>
      <c r="O15" s="2">
        <v>1.145</v>
      </c>
      <c r="P15" s="2">
        <v>1.1399999999999999</v>
      </c>
      <c r="Q15" s="2">
        <v>1.135</v>
      </c>
    </row>
    <row r="17" spans="6:18" ht="14.45" x14ac:dyDescent="0.3">
      <c r="F17" s="2" t="s">
        <v>16</v>
      </c>
      <c r="G17" s="2">
        <f>$C$11-(G13^2)/(2*$C$8)</f>
        <v>286.60744154947633</v>
      </c>
      <c r="H17" s="2">
        <f t="shared" ref="H17:Q17" si="7">$C$11-(H13^2)/(2*$C$8)</f>
        <v>286.23767754326781</v>
      </c>
      <c r="I17" s="2">
        <f t="shared" si="7"/>
        <v>285.75320135386784</v>
      </c>
      <c r="J17" s="2">
        <f t="shared" si="7"/>
        <v>285.10901950397869</v>
      </c>
      <c r="K17" s="2">
        <f t="shared" si="7"/>
        <v>284.23827910973341</v>
      </c>
      <c r="L17" s="2">
        <f t="shared" si="7"/>
        <v>283.0393019761247</v>
      </c>
      <c r="M17" s="2">
        <f t="shared" si="7"/>
        <v>281.35331461602914</v>
      </c>
      <c r="N17" s="2">
        <f t="shared" si="7"/>
        <v>278.92484866136704</v>
      </c>
      <c r="O17" s="2">
        <f t="shared" si="7"/>
        <v>275.32848147837245</v>
      </c>
      <c r="P17" s="2">
        <f t="shared" si="7"/>
        <v>269.8269788355924</v>
      </c>
      <c r="Q17" s="2">
        <f t="shared" si="7"/>
        <v>261.08160650280939</v>
      </c>
      <c r="R17" s="1"/>
    </row>
    <row r="18" spans="6:18" ht="14.45" x14ac:dyDescent="0.3">
      <c r="F18" s="2" t="s">
        <v>17</v>
      </c>
      <c r="G18" s="2">
        <f>SQRT($C$6*$C$7*G17)</f>
        <v>339.33410527512683</v>
      </c>
      <c r="H18" s="2">
        <f t="shared" ref="H18:Q18" si="8">SQRT($C$6*$C$7*H17)</f>
        <v>339.11514021040892</v>
      </c>
      <c r="I18" s="2">
        <f t="shared" si="8"/>
        <v>338.82803127617854</v>
      </c>
      <c r="J18" s="2">
        <f t="shared" si="8"/>
        <v>338.44590079233353</v>
      </c>
      <c r="K18" s="2">
        <f t="shared" si="8"/>
        <v>337.92868834378322</v>
      </c>
      <c r="L18" s="2">
        <f t="shared" si="8"/>
        <v>337.21520783228243</v>
      </c>
      <c r="M18" s="2">
        <f t="shared" si="8"/>
        <v>336.2093585294549</v>
      </c>
      <c r="N18" s="2">
        <f t="shared" si="8"/>
        <v>334.75523944827171</v>
      </c>
      <c r="O18" s="2">
        <f t="shared" si="8"/>
        <v>332.59012460013918</v>
      </c>
      <c r="P18" s="2">
        <f t="shared" si="8"/>
        <v>329.25051689947378</v>
      </c>
      <c r="Q18" s="2">
        <f t="shared" si="8"/>
        <v>323.87089263139086</v>
      </c>
    </row>
    <row r="19" spans="6:18" ht="14.45" x14ac:dyDescent="0.3">
      <c r="F19" s="2" t="s">
        <v>18</v>
      </c>
      <c r="G19" s="2">
        <f>G13/G18</f>
        <v>0.16457536172575365</v>
      </c>
      <c r="H19" s="2">
        <f t="shared" ref="H19:Q19" si="9">H13/H18</f>
        <v>0.18324590985974432</v>
      </c>
      <c r="I19" s="2">
        <f t="shared" si="9"/>
        <v>0.20521490303360296</v>
      </c>
      <c r="J19" s="2">
        <f t="shared" si="9"/>
        <v>0.23131234273437085</v>
      </c>
      <c r="K19" s="2">
        <f t="shared" si="9"/>
        <v>0.2626525539043707</v>
      </c>
      <c r="L19" s="2">
        <f t="shared" si="9"/>
        <v>0.30076395027510683</v>
      </c>
      <c r="M19" s="2">
        <f t="shared" si="9"/>
        <v>0.34779744755949055</v>
      </c>
      <c r="N19" s="2">
        <f t="shared" si="9"/>
        <v>0.40687684484863651</v>
      </c>
      <c r="O19" s="2">
        <f t="shared" si="9"/>
        <v>0.48272303972602298</v>
      </c>
      <c r="P19" s="2">
        <f t="shared" si="9"/>
        <v>0.58285282303934527</v>
      </c>
      <c r="Q19" s="2">
        <f t="shared" si="9"/>
        <v>0.72012498486569854</v>
      </c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R26"/>
  <sheetViews>
    <sheetView workbookViewId="0">
      <selection activeCell="L36" sqref="L36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40.673788413578542</v>
      </c>
      <c r="H5" s="2">
        <v>45.047426672033836</v>
      </c>
      <c r="I5" s="2">
        <v>48.93241781327864</v>
      </c>
      <c r="J5" s="2">
        <v>53.621442250309478</v>
      </c>
      <c r="K5" s="2">
        <v>59.36557553881007</v>
      </c>
      <c r="L5" s="2">
        <v>66.505477057587854</v>
      </c>
      <c r="M5" s="2">
        <v>75.503046173653573</v>
      </c>
      <c r="N5" s="2">
        <v>86.983893661774729</v>
      </c>
      <c r="O5" s="2">
        <v>101.79785334761313</v>
      </c>
      <c r="P5" s="2">
        <v>121.11883164547575</v>
      </c>
      <c r="Q5" s="2">
        <v>146.64432619223766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114019.79343963182</v>
      </c>
      <c r="H6" s="2">
        <v>113788.50182891807</v>
      </c>
      <c r="I6" s="2">
        <v>113565.34188391642</v>
      </c>
      <c r="J6" s="2">
        <v>113269.37825194931</v>
      </c>
      <c r="K6" s="2">
        <v>112867.07333717015</v>
      </c>
      <c r="L6" s="2">
        <v>112305.8929249061</v>
      </c>
      <c r="M6" s="2">
        <v>111502.03423084423</v>
      </c>
      <c r="N6" s="2">
        <v>110319.4278635576</v>
      </c>
      <c r="O6" s="2">
        <v>108532.8930584042</v>
      </c>
      <c r="P6" s="2">
        <v>105760.1817426037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115000</v>
      </c>
      <c r="F10" s="2" t="s">
        <v>14</v>
      </c>
      <c r="G10" s="3">
        <f>G4*G7*G13</f>
        <v>0.96864668075156068</v>
      </c>
      <c r="H10" s="3">
        <f>H4*H7*H13</f>
        <v>0.96820782360895974</v>
      </c>
      <c r="I10" s="3">
        <f t="shared" ref="I10:Q10" si="3">I4*I7*I13</f>
        <v>0.9439919201489263</v>
      </c>
      <c r="J10" s="3">
        <f t="shared" si="3"/>
        <v>0.92277981081889948</v>
      </c>
      <c r="K10" s="3">
        <f t="shared" si="3"/>
        <v>0.90504473096929816</v>
      </c>
      <c r="L10" s="3">
        <f t="shared" si="3"/>
        <v>0.89118044820643061</v>
      </c>
      <c r="M10" s="3">
        <f t="shared" si="3"/>
        <v>0.88139653257959316</v>
      </c>
      <c r="N10" s="3">
        <f t="shared" si="3"/>
        <v>0.87557743455575399</v>
      </c>
      <c r="O10" s="3">
        <f t="shared" si="3"/>
        <v>0.87313386171622731</v>
      </c>
      <c r="P10" s="3">
        <f t="shared" si="3"/>
        <v>0.87293298379820927</v>
      </c>
      <c r="Q10" s="3">
        <f t="shared" si="3"/>
        <v>0.87347290048585724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1.090369906168182</v>
      </c>
      <c r="I11" s="3">
        <f t="shared" ref="I11:P11" si="4">(I13)*(I10-J10)</f>
        <v>1.0375736119645047</v>
      </c>
      <c r="J11" s="3">
        <f t="shared" si="4"/>
        <v>0.95070369946778266</v>
      </c>
      <c r="K11" s="3">
        <f t="shared" si="4"/>
        <v>0.82288525529386802</v>
      </c>
      <c r="L11" s="3">
        <f t="shared" si="4"/>
        <v>0.65059036145156346</v>
      </c>
      <c r="M11" s="3">
        <f t="shared" si="4"/>
        <v>0.43932177906272485</v>
      </c>
      <c r="N11" s="3">
        <f t="shared" si="4"/>
        <v>0.21254208633195851</v>
      </c>
      <c r="O11" s="3">
        <f t="shared" si="4"/>
        <v>2.0448541253976747E-2</v>
      </c>
      <c r="P11" s="3">
        <f t="shared" si="4"/>
        <v>-6.5393424116700447E-2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40.655302571510539</v>
      </c>
      <c r="H13" s="2">
        <f t="shared" ref="H13:Q13" si="5">((G6-H6)/H7+G5*H5)^0.5</f>
        <v>45.027017388294311</v>
      </c>
      <c r="I13" s="2">
        <f t="shared" si="5"/>
        <v>48.914211963624318</v>
      </c>
      <c r="J13" s="2">
        <f t="shared" si="5"/>
        <v>53.60583135401864</v>
      </c>
      <c r="K13" s="2">
        <f t="shared" si="5"/>
        <v>59.352890399623568</v>
      </c>
      <c r="L13" s="2">
        <f t="shared" si="5"/>
        <v>66.495908822739949</v>
      </c>
      <c r="M13" s="2">
        <f t="shared" si="5"/>
        <v>75.496542120952341</v>
      </c>
      <c r="N13" s="2">
        <f t="shared" si="5"/>
        <v>86.980049415317737</v>
      </c>
      <c r="O13" s="2">
        <f t="shared" si="5"/>
        <v>101.79586415337342</v>
      </c>
      <c r="P13" s="2">
        <f t="shared" si="5"/>
        <v>121.1176198342248</v>
      </c>
      <c r="Q13" s="2">
        <f t="shared" si="5"/>
        <v>146.64296389149723</v>
      </c>
    </row>
    <row r="14" spans="2:17" ht="14.45" x14ac:dyDescent="0.3">
      <c r="B14" s="6" t="s">
        <v>8</v>
      </c>
      <c r="C14" s="6">
        <v>1000</v>
      </c>
      <c r="F14" s="2" t="s">
        <v>7</v>
      </c>
      <c r="G14" s="5">
        <f>C10-(G7*G13^2)/2</f>
        <v>114020.68422589521</v>
      </c>
      <c r="H14" s="2">
        <f>H6+H11</f>
        <v>113789.59219882425</v>
      </c>
      <c r="I14" s="2">
        <f t="shared" ref="I14:Q14" si="6">I6+I11</f>
        <v>113566.37945752838</v>
      </c>
      <c r="J14" s="2">
        <f t="shared" si="6"/>
        <v>113270.32895564877</v>
      </c>
      <c r="K14" s="2">
        <f t="shared" si="6"/>
        <v>112867.89622242545</v>
      </c>
      <c r="L14" s="2">
        <f t="shared" si="6"/>
        <v>112306.54351526755</v>
      </c>
      <c r="M14" s="2">
        <f t="shared" si="6"/>
        <v>111502.4735526233</v>
      </c>
      <c r="N14" s="2">
        <f t="shared" si="6"/>
        <v>110319.64040564394</v>
      </c>
      <c r="O14" s="2">
        <f t="shared" si="6"/>
        <v>108532.91350694545</v>
      </c>
      <c r="P14" s="2">
        <f t="shared" si="6"/>
        <v>105760.11634917959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7" spans="6:18" ht="14.45" x14ac:dyDescent="0.3">
      <c r="F17" s="2" t="s">
        <v>16</v>
      </c>
      <c r="G17" s="2">
        <f>$C$11-(G13^2)/(2*$C$8)</f>
        <v>287.33719353485611</v>
      </c>
      <c r="H17" s="2">
        <f t="shared" ref="H17:Q17" si="7">$C$11-(H13^2)/(2*$C$8)</f>
        <v>287.15072466403541</v>
      </c>
      <c r="I17" s="2">
        <f t="shared" si="7"/>
        <v>286.96894059536919</v>
      </c>
      <c r="J17" s="2">
        <f t="shared" si="7"/>
        <v>286.72950161531492</v>
      </c>
      <c r="K17" s="2">
        <f t="shared" si="7"/>
        <v>286.40633333393583</v>
      </c>
      <c r="L17" s="2">
        <f t="shared" si="7"/>
        <v>285.95883219326856</v>
      </c>
      <c r="M17" s="2">
        <f t="shared" si="7"/>
        <v>285.32262053354208</v>
      </c>
      <c r="N17" s="2">
        <f t="shared" si="7"/>
        <v>284.39380675214505</v>
      </c>
      <c r="O17" s="2">
        <f t="shared" si="7"/>
        <v>283.00149842755275</v>
      </c>
      <c r="P17" s="2">
        <f t="shared" si="7"/>
        <v>280.85739255560145</v>
      </c>
      <c r="Q17" s="2">
        <f t="shared" si="7"/>
        <v>277.45502247168315</v>
      </c>
      <c r="R17" s="1"/>
    </row>
    <row r="18" spans="6:18" ht="14.45" x14ac:dyDescent="0.3">
      <c r="F18" s="2" t="s">
        <v>17</v>
      </c>
      <c r="G18" s="2">
        <f>SQRT($C$6*$C$7*G17)</f>
        <v>339.76583222024931</v>
      </c>
      <c r="H18" s="2">
        <f t="shared" ref="H18:Q18" si="8">SQRT($C$6*$C$7*H17)</f>
        <v>339.65556798262941</v>
      </c>
      <c r="I18" s="2">
        <f t="shared" si="8"/>
        <v>339.54803953012009</v>
      </c>
      <c r="J18" s="2">
        <f t="shared" si="8"/>
        <v>339.40635520356744</v>
      </c>
      <c r="K18" s="2">
        <f t="shared" si="8"/>
        <v>339.21503151439015</v>
      </c>
      <c r="L18" s="2">
        <f t="shared" si="8"/>
        <v>338.94992135864749</v>
      </c>
      <c r="M18" s="2">
        <f t="shared" si="8"/>
        <v>338.57265731841414</v>
      </c>
      <c r="N18" s="2">
        <f t="shared" si="8"/>
        <v>338.02112850499032</v>
      </c>
      <c r="O18" s="2">
        <f t="shared" si="8"/>
        <v>337.1926873605837</v>
      </c>
      <c r="P18" s="2">
        <f t="shared" si="8"/>
        <v>335.91292133386662</v>
      </c>
      <c r="Q18" s="2">
        <f t="shared" si="8"/>
        <v>333.87205901698542</v>
      </c>
    </row>
    <row r="19" spans="6:18" ht="14.45" x14ac:dyDescent="0.3">
      <c r="F19" s="2" t="s">
        <v>18</v>
      </c>
      <c r="G19" s="2">
        <f>G13/G18</f>
        <v>0.11965683042889434</v>
      </c>
      <c r="H19" s="2">
        <f t="shared" ref="H19:Q19" si="9">H13/H18</f>
        <v>0.13256669883473565</v>
      </c>
      <c r="I19" s="2">
        <f t="shared" si="9"/>
        <v>0.14405682339180553</v>
      </c>
      <c r="J19" s="2">
        <f t="shared" si="9"/>
        <v>0.15793997528970016</v>
      </c>
      <c r="K19" s="2">
        <f t="shared" si="9"/>
        <v>0.17497128630959771</v>
      </c>
      <c r="L19" s="2">
        <f t="shared" si="9"/>
        <v>0.19618210429492836</v>
      </c>
      <c r="M19" s="2">
        <f t="shared" si="9"/>
        <v>0.22298475818722371</v>
      </c>
      <c r="N19" s="2">
        <f t="shared" si="9"/>
        <v>0.25732133905361371</v>
      </c>
      <c r="O19" s="2">
        <f t="shared" si="9"/>
        <v>0.30189226507310341</v>
      </c>
      <c r="P19" s="2">
        <f t="shared" si="9"/>
        <v>0.36056255101257328</v>
      </c>
      <c r="Q19" s="2">
        <f t="shared" si="9"/>
        <v>0.43921903594824901</v>
      </c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R26"/>
  <sheetViews>
    <sheetView tabSelected="1" topLeftCell="D16" workbookViewId="0">
      <selection activeCell="L29" sqref="L29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57.428248184760704</v>
      </c>
      <c r="H5" s="2">
        <v>63.632407960953699</v>
      </c>
      <c r="I5" s="2">
        <v>70.899071833026269</v>
      </c>
      <c r="J5" s="2">
        <v>79.485464615561398</v>
      </c>
      <c r="K5" s="2">
        <v>89.731637788649905</v>
      </c>
      <c r="L5" s="2">
        <v>102.09466343952555</v>
      </c>
      <c r="M5" s="2">
        <v>117.2005064994591</v>
      </c>
      <c r="N5" s="2">
        <v>135.92484777452665</v>
      </c>
      <c r="O5" s="2">
        <v>159.52291162427707</v>
      </c>
      <c r="P5" s="2">
        <v>189.84544854460057</v>
      </c>
      <c r="Q5" s="2">
        <v>229.71299273897273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133045.93281392951</v>
      </c>
      <c r="H6" s="2">
        <v>132578.11184719813</v>
      </c>
      <c r="I6" s="2">
        <v>131967.60017443288</v>
      </c>
      <c r="J6" s="2">
        <v>131158.84547209844</v>
      </c>
      <c r="K6" s="2">
        <v>130069.34948073192</v>
      </c>
      <c r="L6" s="2">
        <v>128573.64373337128</v>
      </c>
      <c r="M6" s="2">
        <v>126475.7049709665</v>
      </c>
      <c r="N6" s="2">
        <v>123459.75763453866</v>
      </c>
      <c r="O6" s="2">
        <v>118998.90588753944</v>
      </c>
      <c r="P6" s="2">
        <v>112177.34007470035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135000</v>
      </c>
      <c r="F10" s="2" t="s">
        <v>14</v>
      </c>
      <c r="G10" s="3">
        <f>G4*G7*G13</f>
        <v>1.3682761772022025</v>
      </c>
      <c r="H10" s="3">
        <f>H4*H7*H13</f>
        <v>1.3682761772022023</v>
      </c>
      <c r="I10" s="3">
        <f t="shared" ref="I10:Q10" si="3">I4*I7*I13</f>
        <v>1.3682761772019776</v>
      </c>
      <c r="J10" s="3">
        <f t="shared" si="3"/>
        <v>1.3682761772017826</v>
      </c>
      <c r="K10" s="3">
        <f t="shared" si="3"/>
        <v>1.3682761772016117</v>
      </c>
      <c r="L10" s="3">
        <f t="shared" si="3"/>
        <v>1.3682761772015444</v>
      </c>
      <c r="M10" s="3">
        <f t="shared" si="3"/>
        <v>1.3682761772015879</v>
      </c>
      <c r="N10" s="3">
        <f t="shared" si="3"/>
        <v>1.3682761772016485</v>
      </c>
      <c r="O10" s="3">
        <f t="shared" si="3"/>
        <v>1.3682761772017016</v>
      </c>
      <c r="P10" s="3">
        <f t="shared" si="3"/>
        <v>1.3682761772017469</v>
      </c>
      <c r="Q10" s="3">
        <f t="shared" si="3"/>
        <v>1.3682761772017846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1.4298783680751804E-11</v>
      </c>
      <c r="I11" s="3">
        <f t="shared" ref="I11:P11" si="4">(I13)*(I10-J10)</f>
        <v>1.3822140114560414E-11</v>
      </c>
      <c r="J11" s="3">
        <f t="shared" si="4"/>
        <v>1.3589975312640562E-11</v>
      </c>
      <c r="K11" s="3">
        <f t="shared" si="4"/>
        <v>6.0371010968032034E-12</v>
      </c>
      <c r="L11" s="3">
        <f t="shared" si="4"/>
        <v>-4.4432355648431638E-12</v>
      </c>
      <c r="M11" s="3">
        <f t="shared" si="4"/>
        <v>-7.1044810644132678E-12</v>
      </c>
      <c r="N11" s="3">
        <f t="shared" si="4"/>
        <v>-7.2133496105379602E-12</v>
      </c>
      <c r="O11" s="3">
        <f t="shared" si="4"/>
        <v>-7.2259251851730708E-12</v>
      </c>
      <c r="P11" s="3">
        <f t="shared" si="4"/>
        <v>-7.1662067952132033E-12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57.428248184760719</v>
      </c>
      <c r="H13" s="2">
        <f t="shared" ref="H13:Q13" si="5">((G6-H6)/H7+G5*H5)^0.5</f>
        <v>63.632407960953707</v>
      </c>
      <c r="I13" s="2">
        <f t="shared" si="5"/>
        <v>70.899071833026269</v>
      </c>
      <c r="J13" s="2">
        <f t="shared" si="5"/>
        <v>79.485464615561398</v>
      </c>
      <c r="K13" s="2">
        <f t="shared" si="5"/>
        <v>89.731637788649905</v>
      </c>
      <c r="L13" s="2">
        <f t="shared" si="5"/>
        <v>102.09466343952555</v>
      </c>
      <c r="M13" s="2">
        <f t="shared" si="5"/>
        <v>117.20050649945911</v>
      </c>
      <c r="N13" s="2">
        <f t="shared" si="5"/>
        <v>135.92484777452665</v>
      </c>
      <c r="O13" s="2">
        <f t="shared" si="5"/>
        <v>159.52291162427707</v>
      </c>
      <c r="P13" s="2">
        <f t="shared" si="5"/>
        <v>189.84544854460057</v>
      </c>
      <c r="Q13" s="2">
        <f t="shared" si="5"/>
        <v>229.71299273897273</v>
      </c>
    </row>
    <row r="14" spans="2:17" ht="14.45" x14ac:dyDescent="0.3">
      <c r="B14" s="6" t="s">
        <v>8</v>
      </c>
      <c r="C14" s="6">
        <v>2000</v>
      </c>
      <c r="F14" s="2" t="s">
        <v>7</v>
      </c>
      <c r="G14" s="5">
        <f>C10-(G7*G13^2)/2</f>
        <v>133045.93281392948</v>
      </c>
      <c r="H14" s="2">
        <f>H6+H11</f>
        <v>132578.11184719813</v>
      </c>
      <c r="I14" s="2">
        <f t="shared" ref="I14:Q14" si="6">I6+I11</f>
        <v>131967.60017443288</v>
      </c>
      <c r="J14" s="2">
        <f t="shared" si="6"/>
        <v>131158.84547209844</v>
      </c>
      <c r="K14" s="2">
        <f t="shared" si="6"/>
        <v>130069.34948073192</v>
      </c>
      <c r="L14" s="2">
        <f t="shared" si="6"/>
        <v>128573.64373337128</v>
      </c>
      <c r="M14" s="2">
        <f t="shared" si="6"/>
        <v>126475.7049709665</v>
      </c>
      <c r="N14" s="2">
        <f t="shared" si="6"/>
        <v>123459.75763453866</v>
      </c>
      <c r="O14" s="2">
        <f t="shared" si="6"/>
        <v>118998.90588753944</v>
      </c>
      <c r="P14" s="2">
        <f t="shared" si="6"/>
        <v>112177.34007470035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7" spans="6:18" ht="14.45" x14ac:dyDescent="0.3">
      <c r="F17" s="2" t="s">
        <v>16</v>
      </c>
      <c r="G17" s="2">
        <f>$C$11-(G13^2)/(2*$C$8)</f>
        <v>286.51822197850936</v>
      </c>
      <c r="H17" s="2">
        <f t="shared" ref="H17:Q17" si="7">$C$11-(H13^2)/(2*$C$8)</f>
        <v>286.14432728847612</v>
      </c>
      <c r="I17" s="2">
        <f t="shared" si="7"/>
        <v>285.65767105397026</v>
      </c>
      <c r="J17" s="2">
        <f t="shared" si="7"/>
        <v>285.01486903367601</v>
      </c>
      <c r="K17" s="2">
        <f t="shared" si="7"/>
        <v>284.15175287722349</v>
      </c>
      <c r="L17" s="2">
        <f t="shared" si="7"/>
        <v>282.97117069751596</v>
      </c>
      <c r="M17" s="2">
        <f t="shared" si="7"/>
        <v>281.32210736572597</v>
      </c>
      <c r="N17" s="2">
        <f t="shared" si="7"/>
        <v>278.96268606007158</v>
      </c>
      <c r="O17" s="2">
        <f t="shared" si="7"/>
        <v>275.49195971072936</v>
      </c>
      <c r="P17" s="2">
        <f t="shared" si="7"/>
        <v>270.21829632959953</v>
      </c>
      <c r="Q17" s="2">
        <f t="shared" si="7"/>
        <v>261.89155165616523</v>
      </c>
      <c r="R17" s="1"/>
    </row>
    <row r="18" spans="6:18" ht="14.45" x14ac:dyDescent="0.3">
      <c r="F18" s="2" t="s">
        <v>17</v>
      </c>
      <c r="G18" s="2">
        <f>SQRT($C$6*$C$7*G17)</f>
        <v>339.28128459533912</v>
      </c>
      <c r="H18" s="2">
        <f t="shared" ref="H18:Q18" si="8">SQRT($C$6*$C$7*H17)</f>
        <v>339.05983815084909</v>
      </c>
      <c r="I18" s="2">
        <f t="shared" si="8"/>
        <v>338.77138965500012</v>
      </c>
      <c r="J18" s="2">
        <f t="shared" si="8"/>
        <v>338.39001432498696</v>
      </c>
      <c r="K18" s="2">
        <f t="shared" si="8"/>
        <v>337.8772492449819</v>
      </c>
      <c r="L18" s="2">
        <f t="shared" si="8"/>
        <v>337.17461932412789</v>
      </c>
      <c r="M18" s="2">
        <f t="shared" si="8"/>
        <v>336.19071211581672</v>
      </c>
      <c r="N18" s="2">
        <f t="shared" si="8"/>
        <v>334.77794419830468</v>
      </c>
      <c r="O18" s="2">
        <f t="shared" si="8"/>
        <v>332.68884881665389</v>
      </c>
      <c r="P18" s="2">
        <f t="shared" si="8"/>
        <v>329.48917874190795</v>
      </c>
      <c r="Q18" s="2">
        <f t="shared" si="8"/>
        <v>324.37287079320038</v>
      </c>
    </row>
    <row r="19" spans="6:18" ht="14.45" x14ac:dyDescent="0.3">
      <c r="F19" s="2" t="s">
        <v>18</v>
      </c>
      <c r="G19" s="2">
        <f>G13/G18</f>
        <v>0.16926441508041154</v>
      </c>
      <c r="H19" s="2">
        <f t="shared" ref="H19:Q19" si="9">H13/H18</f>
        <v>0.18767309129854357</v>
      </c>
      <c r="I19" s="2">
        <f t="shared" si="9"/>
        <v>0.20928293828244723</v>
      </c>
      <c r="J19" s="2">
        <f t="shared" si="9"/>
        <v>0.23489305609125988</v>
      </c>
      <c r="K19" s="2">
        <f t="shared" si="9"/>
        <v>0.26557466650732947</v>
      </c>
      <c r="L19" s="2">
        <f t="shared" si="9"/>
        <v>0.30279462803035412</v>
      </c>
      <c r="M19" s="2">
        <f t="shared" si="9"/>
        <v>0.34861315995869591</v>
      </c>
      <c r="N19" s="2">
        <f t="shared" si="9"/>
        <v>0.4060149425316143</v>
      </c>
      <c r="O19" s="2">
        <f t="shared" si="9"/>
        <v>0.47949581776391537</v>
      </c>
      <c r="P19" s="2">
        <f t="shared" si="9"/>
        <v>0.57618113368545054</v>
      </c>
      <c r="Q19" s="2">
        <f t="shared" si="9"/>
        <v>0.70817572436698384</v>
      </c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</vt:lpstr>
      <vt:lpstr>ro_var</vt:lpstr>
      <vt:lpstr>ro_const_p105</vt:lpstr>
      <vt:lpstr>ro_var_p105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Admin</cp:lastModifiedBy>
  <dcterms:created xsi:type="dcterms:W3CDTF">2021-04-28T10:23:44Z</dcterms:created>
  <dcterms:modified xsi:type="dcterms:W3CDTF">2021-05-10T07:48:52Z</dcterms:modified>
</cp:coreProperties>
</file>