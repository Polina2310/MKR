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 defaultThemeVersion="124226"/>
  <bookViews>
    <workbookView xWindow="28680" yWindow="-120" windowWidth="20730" windowHeight="11760"/>
  </bookViews>
  <sheets>
    <sheet name="2Д Неявный" sheetId="3" r:id="rId1"/>
    <sheet name="Неявный" sheetId="1" r:id="rId2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74" i="3" l="1"/>
  <c r="BR74" i="3"/>
  <c r="AO40" i="3" l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AN79" i="3"/>
  <c r="BR80" i="3"/>
  <c r="AN83" i="3"/>
  <c r="AN87" i="3"/>
  <c r="BR88" i="3"/>
  <c r="AN91" i="3"/>
  <c r="AN95" i="3"/>
  <c r="BR96" i="3"/>
  <c r="AN97" i="3"/>
  <c r="AN99" i="3"/>
  <c r="AN103" i="3"/>
  <c r="BR104" i="3"/>
  <c r="DD40" i="3"/>
  <c r="DD41" i="3"/>
  <c r="DD42" i="3"/>
  <c r="DD43" i="3"/>
  <c r="DD46" i="3"/>
  <c r="DD48" i="3"/>
  <c r="DD50" i="3"/>
  <c r="DD51" i="3"/>
  <c r="DD52" i="3"/>
  <c r="DD53" i="3"/>
  <c r="DD54" i="3"/>
  <c r="DD56" i="3"/>
  <c r="DD57" i="3"/>
  <c r="DD61" i="3"/>
  <c r="DD64" i="3"/>
  <c r="DD65" i="3"/>
  <c r="DD69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G67" i="3"/>
  <c r="AN102" i="3" s="1"/>
  <c r="G66" i="3"/>
  <c r="AN101" i="3" s="1"/>
  <c r="G65" i="3"/>
  <c r="AN100" i="3" s="1"/>
  <c r="G64" i="3"/>
  <c r="G63" i="3"/>
  <c r="AN98" i="3" s="1"/>
  <c r="G62" i="3"/>
  <c r="G61" i="3"/>
  <c r="AN96" i="3" s="1"/>
  <c r="G60" i="3"/>
  <c r="G59" i="3"/>
  <c r="AN94" i="3" s="1"/>
  <c r="G58" i="3"/>
  <c r="AN93" i="3" s="1"/>
  <c r="G57" i="3"/>
  <c r="AN92" i="3" s="1"/>
  <c r="G56" i="3"/>
  <c r="G55" i="3"/>
  <c r="AN90" i="3" s="1"/>
  <c r="G54" i="3"/>
  <c r="AN89" i="3" s="1"/>
  <c r="G53" i="3"/>
  <c r="AN88" i="3" s="1"/>
  <c r="G52" i="3"/>
  <c r="G51" i="3"/>
  <c r="AN86" i="3" s="1"/>
  <c r="G50" i="3"/>
  <c r="AN85" i="3" s="1"/>
  <c r="G49" i="3"/>
  <c r="AN84" i="3" s="1"/>
  <c r="G48" i="3"/>
  <c r="G47" i="3"/>
  <c r="AN82" i="3" s="1"/>
  <c r="G46" i="3"/>
  <c r="AN81" i="3" s="1"/>
  <c r="G45" i="3"/>
  <c r="AN80" i="3" s="1"/>
  <c r="G44" i="3"/>
  <c r="G43" i="3"/>
  <c r="AN78" i="3" s="1"/>
  <c r="G42" i="3"/>
  <c r="AN77" i="3" s="1"/>
  <c r="G41" i="3"/>
  <c r="AN76" i="3" s="1"/>
  <c r="G40" i="3"/>
  <c r="G39" i="3"/>
  <c r="G4" i="3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G22" i="3"/>
  <c r="AN58" i="3" s="1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B25" i="3"/>
  <c r="B27" i="3" s="1"/>
  <c r="B20" i="3"/>
  <c r="K34" i="3"/>
  <c r="N34" i="3"/>
  <c r="O34" i="3"/>
  <c r="S34" i="3"/>
  <c r="V34" i="3"/>
  <c r="W34" i="3"/>
  <c r="AA34" i="3"/>
  <c r="AD34" i="3"/>
  <c r="AE34" i="3"/>
  <c r="AI34" i="3"/>
  <c r="H34" i="3"/>
  <c r="AL4" i="3"/>
  <c r="AL8" i="3"/>
  <c r="AL11" i="3"/>
  <c r="AL12" i="3"/>
  <c r="AL16" i="3"/>
  <c r="AL19" i="3"/>
  <c r="AL20" i="3"/>
  <c r="AL24" i="3"/>
  <c r="AL27" i="3"/>
  <c r="AL28" i="3"/>
  <c r="AL32" i="3"/>
  <c r="AK3" i="3"/>
  <c r="BR39" i="3" s="1"/>
  <c r="G3" i="3"/>
  <c r="AN39" i="3" s="1"/>
  <c r="L2" i="3"/>
  <c r="O2" i="3"/>
  <c r="P2" i="3"/>
  <c r="T2" i="3"/>
  <c r="W2" i="3"/>
  <c r="X2" i="3"/>
  <c r="AB2" i="3"/>
  <c r="AE2" i="3"/>
  <c r="AF2" i="3"/>
  <c r="AJ2" i="3"/>
  <c r="F3" i="3"/>
  <c r="F4" i="3"/>
  <c r="F8" i="3"/>
  <c r="F11" i="3"/>
  <c r="F12" i="3"/>
  <c r="F16" i="3"/>
  <c r="F19" i="3"/>
  <c r="F20" i="3"/>
  <c r="F24" i="3"/>
  <c r="F27" i="3"/>
  <c r="F28" i="3"/>
  <c r="F32" i="3"/>
  <c r="B6" i="3"/>
  <c r="AL6" i="3" s="1"/>
  <c r="B5" i="3"/>
  <c r="B21" i="3" s="1"/>
  <c r="BW52" i="3" l="1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F29" i="3"/>
  <c r="F21" i="3"/>
  <c r="F13" i="3"/>
  <c r="F5" i="3"/>
  <c r="AG2" i="3"/>
  <c r="Y2" i="3"/>
  <c r="Q2" i="3"/>
  <c r="I2" i="3"/>
  <c r="AL29" i="3"/>
  <c r="AL21" i="3"/>
  <c r="AL13" i="3"/>
  <c r="AL5" i="3"/>
  <c r="AF34" i="3"/>
  <c r="X34" i="3"/>
  <c r="P34" i="3"/>
  <c r="B22" i="3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DD66" i="3"/>
  <c r="DD58" i="3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DD49" i="3"/>
  <c r="DE68" i="3"/>
  <c r="AN67" i="3"/>
  <c r="DE60" i="3"/>
  <c r="AN59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AN68" i="3"/>
  <c r="AN60" i="3"/>
  <c r="AN44" i="3"/>
  <c r="DD45" i="3"/>
  <c r="DE45" i="3" s="1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F26" i="3"/>
  <c r="F18" i="3"/>
  <c r="F10" i="3"/>
  <c r="H2" i="3"/>
  <c r="AD2" i="3"/>
  <c r="V2" i="3"/>
  <c r="N2" i="3"/>
  <c r="AL3" i="3"/>
  <c r="AL26" i="3"/>
  <c r="AL18" i="3"/>
  <c r="AL10" i="3"/>
  <c r="AK34" i="3"/>
  <c r="AC34" i="3"/>
  <c r="U34" i="3"/>
  <c r="M34" i="3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F25" i="3"/>
  <c r="F17" i="3"/>
  <c r="F9" i="3"/>
  <c r="AK2" i="3"/>
  <c r="AC2" i="3"/>
  <c r="U2" i="3"/>
  <c r="M2" i="3"/>
  <c r="AL33" i="3"/>
  <c r="AL25" i="3"/>
  <c r="AL17" i="3"/>
  <c r="AL9" i="3"/>
  <c r="AJ34" i="3"/>
  <c r="AB34" i="3"/>
  <c r="T34" i="3"/>
  <c r="L34" i="3"/>
  <c r="B26" i="3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DD39" i="3"/>
  <c r="DE39" i="3" s="1"/>
  <c r="DD62" i="3"/>
  <c r="F31" i="3"/>
  <c r="F23" i="3"/>
  <c r="F15" i="3"/>
  <c r="F7" i="3"/>
  <c r="AI2" i="3"/>
  <c r="AA2" i="3"/>
  <c r="S2" i="3"/>
  <c r="K2" i="3"/>
  <c r="AL31" i="3"/>
  <c r="AL23" i="3"/>
  <c r="AL15" i="3"/>
  <c r="AL7" i="3"/>
  <c r="AH34" i="3"/>
  <c r="Z34" i="3"/>
  <c r="R34" i="3"/>
  <c r="J34" i="3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F30" i="3"/>
  <c r="F22" i="3"/>
  <c r="F14" i="3"/>
  <c r="F6" i="3"/>
  <c r="AH2" i="3"/>
  <c r="Z2" i="3"/>
  <c r="R2" i="3"/>
  <c r="J2" i="3"/>
  <c r="AL30" i="3"/>
  <c r="AL22" i="3"/>
  <c r="AL14" i="3"/>
  <c r="AG34" i="3"/>
  <c r="Y34" i="3"/>
  <c r="Q34" i="3"/>
  <c r="I34" i="3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58" i="3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DE58" i="3"/>
  <c r="DF58" i="3" s="1"/>
  <c r="DE50" i="3"/>
  <c r="DE54" i="3"/>
  <c r="DE47" i="3"/>
  <c r="DE63" i="3"/>
  <c r="CS67" i="3"/>
  <c r="CT67" i="3" s="1"/>
  <c r="CU67" i="3" s="1"/>
  <c r="CV67" i="3" s="1"/>
  <c r="CW67" i="3" s="1"/>
  <c r="CX67" i="3" s="1"/>
  <c r="CY67" i="3" s="1"/>
  <c r="CO46" i="3"/>
  <c r="CP46" i="3" s="1"/>
  <c r="CQ46" i="3" s="1"/>
  <c r="CR46" i="3" s="1"/>
  <c r="CS46" i="3" s="1"/>
  <c r="CT46" i="3" s="1"/>
  <c r="CU46" i="3" s="1"/>
  <c r="CV46" i="3" s="1"/>
  <c r="CS50" i="3"/>
  <c r="CT50" i="3" s="1"/>
  <c r="CU50" i="3" s="1"/>
  <c r="CV50" i="3" s="1"/>
  <c r="CW50" i="3" s="1"/>
  <c r="CX50" i="3" s="1"/>
  <c r="CY50" i="3" s="1"/>
  <c r="DF60" i="3" l="1"/>
  <c r="DG60" i="3" s="1"/>
  <c r="DH60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BW39" i="3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DF50" i="3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F47" i="3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3" i="3"/>
  <c r="DE66" i="3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DE49" i="3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V68" i="3"/>
  <c r="CW68" i="3" s="1"/>
  <c r="CX68" i="3" s="1"/>
  <c r="CY68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Y53" i="3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E57" i="3"/>
  <c r="BX58" i="3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AJ69" i="3" s="1"/>
  <c r="BQ104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CH60" i="3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CY69" i="3"/>
  <c r="DE40" i="3"/>
  <c r="CY61" i="3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CY39" i="3"/>
  <c r="CX66" i="3"/>
  <c r="CY66" i="3" s="1"/>
  <c r="CT45" i="3"/>
  <c r="CU45" i="3" s="1"/>
  <c r="CV45" i="3" s="1"/>
  <c r="CW45" i="3" s="1"/>
  <c r="CX45" i="3" s="1"/>
  <c r="CY45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DE65" i="3"/>
  <c r="DF65" i="3" s="1"/>
  <c r="DG65" i="3" s="1"/>
  <c r="DH65" i="3" s="1"/>
  <c r="DI65" i="3" s="1"/>
  <c r="DJ65" i="3" s="1"/>
  <c r="DK65" i="3" s="1"/>
  <c r="DL6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Z60" i="3"/>
  <c r="CA60" i="3" s="1"/>
  <c r="CB60" i="3" s="1"/>
  <c r="CC60" i="3" s="1"/>
  <c r="CD60" i="3" s="1"/>
  <c r="CE60" i="3" s="1"/>
  <c r="CF60" i="3" s="1"/>
  <c r="CG60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Y41" i="3"/>
  <c r="CV51" i="3"/>
  <c r="CW51" i="3" s="1"/>
  <c r="CX51" i="3" s="1"/>
  <c r="CU48" i="3"/>
  <c r="CV48" i="3" s="1"/>
  <c r="CW48" i="3" s="1"/>
  <c r="CX48" i="3" s="1"/>
  <c r="CY48" i="3" s="1"/>
  <c r="CW46" i="3"/>
  <c r="CX46" i="3" s="1"/>
  <c r="CY46" i="3" s="1"/>
  <c r="CY59" i="3"/>
  <c r="CX57" i="3"/>
  <c r="AJ39" i="3" l="1"/>
  <c r="BQ74" i="3" s="1"/>
  <c r="AJ44" i="3"/>
  <c r="BQ79" i="3" s="1"/>
  <c r="AJ56" i="3"/>
  <c r="AI56" i="3" s="1"/>
  <c r="AJ61" i="3"/>
  <c r="BQ96" i="3" s="1"/>
  <c r="AJ53" i="3"/>
  <c r="BQ88" i="3" s="1"/>
  <c r="AJ55" i="3"/>
  <c r="AI55" i="3" s="1"/>
  <c r="BP90" i="3" s="1"/>
  <c r="AJ62" i="3"/>
  <c r="AI62" i="3" s="1"/>
  <c r="AJ67" i="3"/>
  <c r="BQ102" i="3" s="1"/>
  <c r="EG49" i="3"/>
  <c r="EH49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39" i="3"/>
  <c r="AJ59" i="3"/>
  <c r="BQ94" i="3" s="1"/>
  <c r="ED48" i="3"/>
  <c r="EE48" i="3" s="1"/>
  <c r="EF48" i="3" s="1"/>
  <c r="EG48" i="3" s="1"/>
  <c r="EH48" i="3" s="1"/>
  <c r="EF46" i="3"/>
  <c r="EG46" i="3" s="1"/>
  <c r="EH46" i="3" s="1"/>
  <c r="EE68" i="3"/>
  <c r="EF68" i="3" s="1"/>
  <c r="EG68" i="3" s="1"/>
  <c r="AJ50" i="3"/>
  <c r="BQ85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EH51" i="3"/>
  <c r="DS42" i="3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O43" i="3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61" i="3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C45" i="3"/>
  <c r="ED45" i="3" s="1"/>
  <c r="EE45" i="3" s="1"/>
  <c r="EF45" i="3" s="1"/>
  <c r="EG45" i="3" s="1"/>
  <c r="EH45" i="3" s="1"/>
  <c r="AI69" i="3"/>
  <c r="BP104" i="3" s="1"/>
  <c r="CY57" i="3"/>
  <c r="CY51" i="3"/>
  <c r="AJ51" i="3" s="1"/>
  <c r="BQ86" i="3" s="1"/>
  <c r="CX58" i="3"/>
  <c r="CY58" i="3" s="1"/>
  <c r="CV43" i="3"/>
  <c r="CW43" i="3" s="1"/>
  <c r="CX43" i="3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BQ91" i="3" l="1"/>
  <c r="AI39" i="3"/>
  <c r="BP74" i="3" s="1"/>
  <c r="AI44" i="3"/>
  <c r="BP79" i="3" s="1"/>
  <c r="BQ97" i="3"/>
  <c r="AI61" i="3"/>
  <c r="BP96" i="3" s="1"/>
  <c r="AI67" i="3"/>
  <c r="BP102" i="3" s="1"/>
  <c r="AI59" i="3"/>
  <c r="BP94" i="3" s="1"/>
  <c r="AJ46" i="3"/>
  <c r="AI53" i="3"/>
  <c r="AH53" i="3" s="1"/>
  <c r="AJ48" i="3"/>
  <c r="BQ90" i="3"/>
  <c r="AH55" i="3"/>
  <c r="BO90" i="3" s="1"/>
  <c r="AJ66" i="3"/>
  <c r="AJ57" i="3"/>
  <c r="BQ92" i="3" s="1"/>
  <c r="AI50" i="3"/>
  <c r="BP85" i="3" s="1"/>
  <c r="EH57" i="3"/>
  <c r="EH68" i="3"/>
  <c r="AJ68" i="3"/>
  <c r="AJ47" i="3"/>
  <c r="AJ64" i="3"/>
  <c r="EG58" i="3"/>
  <c r="EH58" i="3" s="1"/>
  <c r="AJ45" i="3"/>
  <c r="AJ65" i="3"/>
  <c r="AJ63" i="3"/>
  <c r="AI52" i="3"/>
  <c r="BP87" i="3" s="1"/>
  <c r="AJ41" i="3"/>
  <c r="AJ40" i="3"/>
  <c r="AJ42" i="3"/>
  <c r="AJ60" i="3"/>
  <c r="AJ54" i="3"/>
  <c r="AJ49" i="3"/>
  <c r="AH69" i="3"/>
  <c r="BO104" i="3" s="1"/>
  <c r="BP97" i="3"/>
  <c r="AH62" i="3"/>
  <c r="BP91" i="3"/>
  <c r="AH56" i="3"/>
  <c r="CY43" i="3"/>
  <c r="AJ43" i="3" s="1"/>
  <c r="BQ78" i="3" s="1"/>
  <c r="AI51" i="3"/>
  <c r="BP86" i="3" s="1"/>
  <c r="AH61" i="3" l="1"/>
  <c r="BO96" i="3" s="1"/>
  <c r="AH39" i="3"/>
  <c r="BO74" i="3" s="1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BQ83" i="3"/>
  <c r="AI48" i="3"/>
  <c r="AG69" i="3"/>
  <c r="BN104" i="3" s="1"/>
  <c r="AH50" i="3"/>
  <c r="BO85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BO88" i="3"/>
  <c r="AG53" i="3"/>
  <c r="BO97" i="3"/>
  <c r="AG62" i="3"/>
  <c r="BO91" i="3"/>
  <c r="AG56" i="3"/>
  <c r="AI43" i="3"/>
  <c r="BP78" i="3" s="1"/>
  <c r="AH51" i="3"/>
  <c r="BO86" i="3" s="1"/>
  <c r="AG59" i="3" l="1"/>
  <c r="BN94" i="3" s="1"/>
  <c r="AG61" i="3"/>
  <c r="BN96" i="3" s="1"/>
  <c r="AG67" i="3"/>
  <c r="BN102" i="3" s="1"/>
  <c r="AG39" i="3"/>
  <c r="BN74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EG97" i="3" s="1"/>
  <c r="EG96" i="3" s="1"/>
  <c r="EG95" i="3" s="1"/>
  <c r="EG94" i="3" s="1"/>
  <c r="AG50" i="3"/>
  <c r="BN85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AF39" i="3"/>
  <c r="BM74" i="3" s="1"/>
  <c r="BN88" i="3"/>
  <c r="AF53" i="3"/>
  <c r="BN79" i="3"/>
  <c r="AF44" i="3"/>
  <c r="BN97" i="3"/>
  <c r="AF62" i="3"/>
  <c r="BN91" i="3"/>
  <c r="AF56" i="3"/>
  <c r="AH43" i="3"/>
  <c r="BO78" i="3" s="1"/>
  <c r="AG51" i="3"/>
  <c r="BN86" i="3" s="1"/>
  <c r="AF59" i="3" l="1"/>
  <c r="BM94" i="3" s="1"/>
  <c r="AF61" i="3"/>
  <c r="BM96" i="3" s="1"/>
  <c r="AE55" i="3"/>
  <c r="BL90" i="3" s="1"/>
  <c r="AF67" i="3"/>
  <c r="BM102" i="3" s="1"/>
  <c r="AG57" i="3"/>
  <c r="BN92" i="3" s="1"/>
  <c r="AE69" i="3"/>
  <c r="BL104" i="3" s="1"/>
  <c r="AF50" i="3"/>
  <c r="BM85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AD55" i="3"/>
  <c r="BK90" i="3" s="1"/>
  <c r="AE39" i="3"/>
  <c r="BL74" i="3" s="1"/>
  <c r="BM88" i="3"/>
  <c r="AE53" i="3"/>
  <c r="BM97" i="3"/>
  <c r="AE62" i="3"/>
  <c r="BM79" i="3"/>
  <c r="AE44" i="3"/>
  <c r="BM91" i="3"/>
  <c r="AE56" i="3"/>
  <c r="AF51" i="3"/>
  <c r="BM86" i="3" s="1"/>
  <c r="AG43" i="3"/>
  <c r="BN78" i="3" s="1"/>
  <c r="H16" i="1"/>
  <c r="AI16" i="1"/>
  <c r="O16" i="1"/>
  <c r="W16" i="1"/>
  <c r="AE16" i="1"/>
  <c r="F18" i="1"/>
  <c r="AE59" i="3" l="1"/>
  <c r="BL94" i="3" s="1"/>
  <c r="AF57" i="3"/>
  <c r="BM92" i="3" s="1"/>
  <c r="AE61" i="3"/>
  <c r="BL96" i="3" s="1"/>
  <c r="AE67" i="3"/>
  <c r="BL102" i="3" s="1"/>
  <c r="AD69" i="3"/>
  <c r="BK104" i="3" s="1"/>
  <c r="AE50" i="3"/>
  <c r="BL85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AC55" i="3"/>
  <c r="BJ90" i="3" s="1"/>
  <c r="AD39" i="3"/>
  <c r="BK74" i="3" s="1"/>
  <c r="BL88" i="3"/>
  <c r="AD53" i="3"/>
  <c r="BL79" i="3"/>
  <c r="AD44" i="3"/>
  <c r="BL97" i="3"/>
  <c r="AD62" i="3"/>
  <c r="BL91" i="3"/>
  <c r="AD56" i="3"/>
  <c r="AF43" i="3"/>
  <c r="BM78" i="3" s="1"/>
  <c r="AE51" i="3"/>
  <c r="BL86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AD59" i="3" l="1"/>
  <c r="BK94" i="3" s="1"/>
  <c r="AD67" i="3"/>
  <c r="BK102" i="3" s="1"/>
  <c r="AE57" i="3"/>
  <c r="BL92" i="3" s="1"/>
  <c r="AD61" i="3"/>
  <c r="AC61" i="3" s="1"/>
  <c r="AC69" i="3"/>
  <c r="BJ104" i="3" s="1"/>
  <c r="AD50" i="3"/>
  <c r="BK85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ED96" i="3" s="1"/>
  <c r="ED95" i="3" s="1"/>
  <c r="ED94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B55" i="3"/>
  <c r="BI90" i="3" s="1"/>
  <c r="BK96" i="3"/>
  <c r="AC59" i="3"/>
  <c r="BJ94" i="3" s="1"/>
  <c r="AC39" i="3"/>
  <c r="BJ74" i="3" s="1"/>
  <c r="BK88" i="3"/>
  <c r="AC53" i="3"/>
  <c r="BK97" i="3"/>
  <c r="AC62" i="3"/>
  <c r="BK79" i="3"/>
  <c r="AC44" i="3"/>
  <c r="BK91" i="3"/>
  <c r="AC56" i="3"/>
  <c r="AE43" i="3"/>
  <c r="BL78" i="3" s="1"/>
  <c r="AD51" i="3"/>
  <c r="BK86" i="3" s="1"/>
  <c r="C4" i="1"/>
  <c r="AD57" i="3" l="1"/>
  <c r="BK92" i="3" s="1"/>
  <c r="AC67" i="3"/>
  <c r="BJ102" i="3" s="1"/>
  <c r="AC50" i="3"/>
  <c r="BJ85" i="3" s="1"/>
  <c r="AC52" i="3"/>
  <c r="BJ87" i="3" s="1"/>
  <c r="AB69" i="3"/>
  <c r="BI104" i="3" s="1"/>
  <c r="EC101" i="3"/>
  <c r="EC100" i="3" s="1"/>
  <c r="EC99" i="3" s="1"/>
  <c r="EC98" i="3" s="1"/>
  <c r="EC97" i="3" s="1"/>
  <c r="EC96" i="3" s="1"/>
  <c r="EC95" i="3" s="1"/>
  <c r="EC94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AG38" i="1"/>
  <c r="C15" i="1"/>
  <c r="AJ25" i="1"/>
  <c r="F22" i="1"/>
  <c r="G25" i="1" s="1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A55" i="3"/>
  <c r="BH90" i="3" s="1"/>
  <c r="BJ96" i="3"/>
  <c r="AB61" i="3"/>
  <c r="AB59" i="3"/>
  <c r="BI94" i="3" s="1"/>
  <c r="AB39" i="3"/>
  <c r="BI74" i="3" s="1"/>
  <c r="BJ88" i="3"/>
  <c r="AB53" i="3"/>
  <c r="BJ79" i="3"/>
  <c r="AB44" i="3"/>
  <c r="BJ97" i="3"/>
  <c r="AB62" i="3"/>
  <c r="BJ91" i="3"/>
  <c r="AB56" i="3"/>
  <c r="AC51" i="3"/>
  <c r="BJ86" i="3" s="1"/>
  <c r="AD43" i="3"/>
  <c r="BK78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AC57" i="3" l="1"/>
  <c r="BJ92" i="3" s="1"/>
  <c r="AA69" i="3"/>
  <c r="BH104" i="3" s="1"/>
  <c r="AB67" i="3"/>
  <c r="BI102" i="3" s="1"/>
  <c r="AB50" i="3"/>
  <c r="BI85" i="3" s="1"/>
  <c r="AB52" i="3"/>
  <c r="BI87" i="3" s="1"/>
  <c r="EB101" i="3"/>
  <c r="EB100" i="3" s="1"/>
  <c r="EB99" i="3" s="1"/>
  <c r="EB98" i="3" s="1"/>
  <c r="EB97" i="3" s="1"/>
  <c r="EB96" i="3" s="1"/>
  <c r="EB95" i="3" s="1"/>
  <c r="EB94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2" i="3"/>
  <c r="BH87" i="3" s="1"/>
  <c r="Z55" i="3"/>
  <c r="BG90" i="3" s="1"/>
  <c r="BI96" i="3"/>
  <c r="AA61" i="3"/>
  <c r="AA59" i="3"/>
  <c r="BH94" i="3" s="1"/>
  <c r="AA39" i="3"/>
  <c r="BH74" i="3" s="1"/>
  <c r="BI88" i="3"/>
  <c r="AA53" i="3"/>
  <c r="BI91" i="3"/>
  <c r="AA56" i="3"/>
  <c r="BI97" i="3"/>
  <c r="AA62" i="3"/>
  <c r="BI79" i="3"/>
  <c r="AA44" i="3"/>
  <c r="AC43" i="3"/>
  <c r="BJ78" i="3" s="1"/>
  <c r="AB51" i="3"/>
  <c r="BI86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AB57" i="3" l="1"/>
  <c r="BI92" i="3" s="1"/>
  <c r="Z69" i="3"/>
  <c r="BG104" i="3" s="1"/>
  <c r="AA67" i="3"/>
  <c r="BH102" i="3" s="1"/>
  <c r="AA50" i="3"/>
  <c r="BH85" i="3" s="1"/>
  <c r="EA101" i="3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2" i="3"/>
  <c r="BG87" i="3" s="1"/>
  <c r="Y55" i="3"/>
  <c r="BF90" i="3" s="1"/>
  <c r="Z59" i="3"/>
  <c r="BG94" i="3" s="1"/>
  <c r="Z39" i="3"/>
  <c r="BG74" i="3" s="1"/>
  <c r="BH96" i="3"/>
  <c r="Z61" i="3"/>
  <c r="BH88" i="3"/>
  <c r="Z53" i="3"/>
  <c r="BH79" i="3"/>
  <c r="Z44" i="3"/>
  <c r="BH97" i="3"/>
  <c r="Z62" i="3"/>
  <c r="BH91" i="3"/>
  <c r="Z56" i="3"/>
  <c r="Y69" i="3"/>
  <c r="BF104" i="3" s="1"/>
  <c r="AA51" i="3"/>
  <c r="BH86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AA57" i="3" l="1"/>
  <c r="BH92" i="3" s="1"/>
  <c r="Z67" i="3"/>
  <c r="BG102" i="3" s="1"/>
  <c r="Z50" i="3"/>
  <c r="BG85" i="3" s="1"/>
  <c r="EA93" i="3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Y52" i="3"/>
  <c r="BF87" i="3" s="1"/>
  <c r="BI75" i="3"/>
  <c r="AA40" i="3"/>
  <c r="BI82" i="3"/>
  <c r="AA47" i="3"/>
  <c r="BI77" i="3"/>
  <c r="AA42" i="3"/>
  <c r="BI89" i="3"/>
  <c r="AA54" i="3"/>
  <c r="BI95" i="3"/>
  <c r="AA60" i="3"/>
  <c r="X55" i="3"/>
  <c r="BE90" i="3" s="1"/>
  <c r="Y39" i="3"/>
  <c r="BF74" i="3" s="1"/>
  <c r="Y59" i="3"/>
  <c r="BF94" i="3" s="1"/>
  <c r="BG96" i="3"/>
  <c r="Y61" i="3"/>
  <c r="BG88" i="3"/>
  <c r="Y53" i="3"/>
  <c r="BG97" i="3"/>
  <c r="Y62" i="3"/>
  <c r="BG79" i="3"/>
  <c r="Y44" i="3"/>
  <c r="BG91" i="3"/>
  <c r="Y56" i="3"/>
  <c r="Z51" i="3"/>
  <c r="BG86" i="3" s="1"/>
  <c r="X69" i="3"/>
  <c r="BE104" i="3" s="1"/>
  <c r="AA43" i="3"/>
  <c r="BH78" i="3" s="1"/>
  <c r="I18" i="1"/>
  <c r="J18" i="1" s="1"/>
  <c r="K18" i="1" s="1"/>
  <c r="Z57" i="3" l="1"/>
  <c r="BG92" i="3" s="1"/>
  <c r="Y67" i="3"/>
  <c r="BF102" i="3" s="1"/>
  <c r="Y50" i="3"/>
  <c r="BF85" i="3" s="1"/>
  <c r="AD74" i="3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X52" i="3"/>
  <c r="BE87" i="3" s="1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X39" i="3"/>
  <c r="BE74" i="3" s="1"/>
  <c r="W55" i="3"/>
  <c r="BD90" i="3" s="1"/>
  <c r="X59" i="3"/>
  <c r="BE94" i="3" s="1"/>
  <c r="BF96" i="3"/>
  <c r="X61" i="3"/>
  <c r="BF88" i="3"/>
  <c r="X53" i="3"/>
  <c r="BF79" i="3"/>
  <c r="X44" i="3"/>
  <c r="BF97" i="3"/>
  <c r="X62" i="3"/>
  <c r="BF91" i="3"/>
  <c r="X56" i="3"/>
  <c r="Y57" i="3"/>
  <c r="BF92" i="3" s="1"/>
  <c r="W69" i="3"/>
  <c r="BD104" i="3" s="1"/>
  <c r="Z43" i="3"/>
  <c r="BG78" i="3" s="1"/>
  <c r="Y51" i="3"/>
  <c r="BF86" i="3" s="1"/>
  <c r="L18" i="1"/>
  <c r="X50" i="3" l="1"/>
  <c r="BE85" i="3" s="1"/>
  <c r="X67" i="3"/>
  <c r="BE102" i="3" s="1"/>
  <c r="BG81" i="3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W39" i="3"/>
  <c r="BD74" i="3" s="1"/>
  <c r="V55" i="3"/>
  <c r="BC90" i="3" s="1"/>
  <c r="W59" i="3"/>
  <c r="BD94" i="3" s="1"/>
  <c r="BE96" i="3"/>
  <c r="W61" i="3"/>
  <c r="BE88" i="3"/>
  <c r="W53" i="3"/>
  <c r="BE97" i="3"/>
  <c r="W62" i="3"/>
  <c r="BE79" i="3"/>
  <c r="W44" i="3"/>
  <c r="BE91" i="3"/>
  <c r="W56" i="3"/>
  <c r="V69" i="3"/>
  <c r="BC104" i="3" s="1"/>
  <c r="X51" i="3"/>
  <c r="BE86" i="3" s="1"/>
  <c r="Y43" i="3"/>
  <c r="BF78" i="3" s="1"/>
  <c r="X57" i="3"/>
  <c r="BE92" i="3" s="1"/>
  <c r="M18" i="1"/>
  <c r="W50" i="3" l="1"/>
  <c r="BD85" i="3" s="1"/>
  <c r="W67" i="3"/>
  <c r="BD102" i="3" s="1"/>
  <c r="DW101" i="3"/>
  <c r="DW100" i="3" s="1"/>
  <c r="DW99" i="3" s="1"/>
  <c r="DW98" i="3" s="1"/>
  <c r="DW97" i="3" s="1"/>
  <c r="DW96" i="3" s="1"/>
  <c r="DW95" i="3" s="1"/>
  <c r="DW94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BF83" i="3"/>
  <c r="X48" i="3"/>
  <c r="DY74" i="3"/>
  <c r="BF101" i="3"/>
  <c r="X66" i="3"/>
  <c r="V39" i="3"/>
  <c r="BC74" i="3" s="1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BF99" i="3"/>
  <c r="X64" i="3"/>
  <c r="BF103" i="3"/>
  <c r="DV103" i="3" s="1"/>
  <c r="DV102" i="3" s="1"/>
  <c r="X68" i="3"/>
  <c r="U55" i="3"/>
  <c r="BB90" i="3" s="1"/>
  <c r="V59" i="3"/>
  <c r="BC94" i="3" s="1"/>
  <c r="BD96" i="3"/>
  <c r="V61" i="3"/>
  <c r="BD88" i="3"/>
  <c r="V53" i="3"/>
  <c r="BD79" i="3"/>
  <c r="V44" i="3"/>
  <c r="BD97" i="3"/>
  <c r="V62" i="3"/>
  <c r="BD91" i="3"/>
  <c r="V56" i="3"/>
  <c r="X43" i="3"/>
  <c r="BE78" i="3" s="1"/>
  <c r="U69" i="3"/>
  <c r="BB104" i="3" s="1"/>
  <c r="W51" i="3"/>
  <c r="BD86" i="3" s="1"/>
  <c r="W57" i="3"/>
  <c r="BD92" i="3" s="1"/>
  <c r="N18" i="1"/>
  <c r="V50" i="3" l="1"/>
  <c r="BC85" i="3" s="1"/>
  <c r="V67" i="3"/>
  <c r="BC102" i="3" s="1"/>
  <c r="U39" i="3"/>
  <c r="BB74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DV101" i="3"/>
  <c r="DV100" i="3" s="1"/>
  <c r="DV99" i="3" s="1"/>
  <c r="DV98" i="3" s="1"/>
  <c r="DV97" i="3" s="1"/>
  <c r="DV96" i="3" s="1"/>
  <c r="DV95" i="3" s="1"/>
  <c r="DV94" i="3" s="1"/>
  <c r="BE83" i="3"/>
  <c r="W48" i="3"/>
  <c r="DW93" i="3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BE101" i="3"/>
  <c r="W66" i="3"/>
  <c r="BE100" i="3"/>
  <c r="W65" i="3"/>
  <c r="BE82" i="3"/>
  <c r="W47" i="3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96" i="3"/>
  <c r="U61" i="3"/>
  <c r="BC88" i="3"/>
  <c r="U53" i="3"/>
  <c r="BC79" i="3"/>
  <c r="U44" i="3"/>
  <c r="BC97" i="3"/>
  <c r="U62" i="3"/>
  <c r="BC91" i="3"/>
  <c r="U56" i="3"/>
  <c r="T69" i="3"/>
  <c r="BA104" i="3" s="1"/>
  <c r="V57" i="3"/>
  <c r="BC92" i="3" s="1"/>
  <c r="V51" i="3"/>
  <c r="BC86" i="3" s="1"/>
  <c r="W43" i="3"/>
  <c r="BD78" i="3" s="1"/>
  <c r="T52" i="3"/>
  <c r="BA87" i="3" s="1"/>
  <c r="O18" i="1"/>
  <c r="P18" i="1" s="1"/>
  <c r="U50" i="3" l="1"/>
  <c r="BB85" i="3" s="1"/>
  <c r="U67" i="3"/>
  <c r="BB102" i="3" s="1"/>
  <c r="T39" i="3"/>
  <c r="BA74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96" i="3"/>
  <c r="T61" i="3"/>
  <c r="BB88" i="3"/>
  <c r="T53" i="3"/>
  <c r="BB97" i="3"/>
  <c r="T62" i="3"/>
  <c r="BB79" i="3"/>
  <c r="T44" i="3"/>
  <c r="BB91" i="3"/>
  <c r="T56" i="3"/>
  <c r="S52" i="3"/>
  <c r="AZ87" i="3" s="1"/>
  <c r="V43" i="3"/>
  <c r="BC78" i="3" s="1"/>
  <c r="U51" i="3"/>
  <c r="BB86" i="3" s="1"/>
  <c r="S69" i="3"/>
  <c r="AZ104" i="3" s="1"/>
  <c r="U57" i="3"/>
  <c r="BB92" i="3" s="1"/>
  <c r="Q18" i="1"/>
  <c r="T50" i="3" l="1"/>
  <c r="BA85" i="3" s="1"/>
  <c r="T67" i="3"/>
  <c r="BA102" i="3" s="1"/>
  <c r="S39" i="3"/>
  <c r="AZ74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96" i="3"/>
  <c r="S61" i="3"/>
  <c r="BA88" i="3"/>
  <c r="S53" i="3"/>
  <c r="BA91" i="3"/>
  <c r="S56" i="3"/>
  <c r="BA79" i="3"/>
  <c r="S44" i="3"/>
  <c r="BA97" i="3"/>
  <c r="S62" i="3"/>
  <c r="T51" i="3"/>
  <c r="BA86" i="3" s="1"/>
  <c r="R69" i="3"/>
  <c r="AY104" i="3" s="1"/>
  <c r="T57" i="3"/>
  <c r="BA92" i="3" s="1"/>
  <c r="U43" i="3"/>
  <c r="BB78" i="3" s="1"/>
  <c r="R52" i="3"/>
  <c r="AY87" i="3" s="1"/>
  <c r="R18" i="1"/>
  <c r="S50" i="3" l="1"/>
  <c r="AZ85" i="3" s="1"/>
  <c r="S67" i="3"/>
  <c r="AZ102" i="3" s="1"/>
  <c r="R39" i="3"/>
  <c r="AY74" i="3" s="1"/>
  <c r="BB81" i="3"/>
  <c r="T46" i="3"/>
  <c r="DS101" i="3"/>
  <c r="DS100" i="3" s="1"/>
  <c r="DS99" i="3" s="1"/>
  <c r="DS98" i="3" s="1"/>
  <c r="DS97" i="3" s="1"/>
  <c r="DS96" i="3" s="1"/>
  <c r="DS95" i="3" s="1"/>
  <c r="DS94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96" i="3"/>
  <c r="R61" i="3"/>
  <c r="AZ88" i="3"/>
  <c r="R53" i="3"/>
  <c r="AZ97" i="3"/>
  <c r="R62" i="3"/>
  <c r="AZ79" i="3"/>
  <c r="R44" i="3"/>
  <c r="AZ91" i="3"/>
  <c r="R56" i="3"/>
  <c r="S51" i="3"/>
  <c r="AZ86" i="3" s="1"/>
  <c r="Q52" i="3"/>
  <c r="AX87" i="3" s="1"/>
  <c r="Q69" i="3"/>
  <c r="AX104" i="3" s="1"/>
  <c r="T43" i="3"/>
  <c r="BA78" i="3" s="1"/>
  <c r="S57" i="3"/>
  <c r="AZ92" i="3" s="1"/>
  <c r="S18" i="1"/>
  <c r="Q39" i="3" l="1"/>
  <c r="AX74" i="3" s="1"/>
  <c r="R50" i="3"/>
  <c r="AY85" i="3" s="1"/>
  <c r="R67" i="3"/>
  <c r="AY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96" i="3"/>
  <c r="Q61" i="3"/>
  <c r="AY88" i="3"/>
  <c r="Q53" i="3"/>
  <c r="AY91" i="3"/>
  <c r="Q56" i="3"/>
  <c r="AY79" i="3"/>
  <c r="Q44" i="3"/>
  <c r="AY97" i="3"/>
  <c r="Q62" i="3"/>
  <c r="R57" i="3"/>
  <c r="AY92" i="3" s="1"/>
  <c r="S43" i="3"/>
  <c r="AZ78" i="3" s="1"/>
  <c r="R51" i="3"/>
  <c r="AY86" i="3" s="1"/>
  <c r="P52" i="3"/>
  <c r="AW87" i="3" s="1"/>
  <c r="P69" i="3"/>
  <c r="AW104" i="3" s="1"/>
  <c r="T18" i="1"/>
  <c r="P39" i="3" l="1"/>
  <c r="AW74" i="3" s="1"/>
  <c r="Q50" i="3"/>
  <c r="AX85" i="3" s="1"/>
  <c r="Q67" i="3"/>
  <c r="AX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96" i="3"/>
  <c r="P61" i="3"/>
  <c r="AX88" i="3"/>
  <c r="P53" i="3"/>
  <c r="AX97" i="3"/>
  <c r="P62" i="3"/>
  <c r="AX79" i="3"/>
  <c r="P44" i="3"/>
  <c r="AX91" i="3"/>
  <c r="P56" i="3"/>
  <c r="R43" i="3"/>
  <c r="AY78" i="3" s="1"/>
  <c r="O69" i="3"/>
  <c r="AV104" i="3" s="1"/>
  <c r="Q57" i="3"/>
  <c r="AX92" i="3" s="1"/>
  <c r="O52" i="3"/>
  <c r="AV87" i="3" s="1"/>
  <c r="Q51" i="3"/>
  <c r="AX86" i="3" s="1"/>
  <c r="U18" i="1"/>
  <c r="O39" i="3" l="1"/>
  <c r="AV74" i="3" s="1"/>
  <c r="P50" i="3"/>
  <c r="AW85" i="3" s="1"/>
  <c r="P67" i="3"/>
  <c r="N55" i="3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DP97" i="3" s="1"/>
  <c r="DP96" i="3" s="1"/>
  <c r="DP95" i="3" s="1"/>
  <c r="DP94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96" i="3"/>
  <c r="O61" i="3"/>
  <c r="AW88" i="3"/>
  <c r="O53" i="3"/>
  <c r="AW91" i="3"/>
  <c r="O56" i="3"/>
  <c r="AW79" i="3"/>
  <c r="O44" i="3"/>
  <c r="AW97" i="3"/>
  <c r="O62" i="3"/>
  <c r="P57" i="3"/>
  <c r="AW92" i="3" s="1"/>
  <c r="N69" i="3"/>
  <c r="AU104" i="3" s="1"/>
  <c r="Q43" i="3"/>
  <c r="AX78" i="3" s="1"/>
  <c r="N52" i="3"/>
  <c r="AU87" i="3" s="1"/>
  <c r="P51" i="3"/>
  <c r="AW86" i="3" s="1"/>
  <c r="V18" i="1"/>
  <c r="N39" i="3" l="1"/>
  <c r="AU74" i="3" s="1"/>
  <c r="O50" i="3"/>
  <c r="AV85" i="3" s="1"/>
  <c r="AW102" i="3"/>
  <c r="O67" i="3"/>
  <c r="M55" i="3"/>
  <c r="AT90" i="3" s="1"/>
  <c r="N59" i="3"/>
  <c r="AU94" i="3" s="1"/>
  <c r="DO101" i="3"/>
  <c r="DO100" i="3" s="1"/>
  <c r="DO99" i="3" s="1"/>
  <c r="DO98" i="3" s="1"/>
  <c r="DO97" i="3" s="1"/>
  <c r="DO96" i="3" s="1"/>
  <c r="DO95" i="3" s="1"/>
  <c r="DO94" i="3" s="1"/>
  <c r="DQ74" i="3"/>
  <c r="AX81" i="3"/>
  <c r="P46" i="3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96" i="3"/>
  <c r="N61" i="3"/>
  <c r="AV88" i="3"/>
  <c r="N53" i="3"/>
  <c r="AV97" i="3"/>
  <c r="N62" i="3"/>
  <c r="AV79" i="3"/>
  <c r="N44" i="3"/>
  <c r="AV91" i="3"/>
  <c r="N56" i="3"/>
  <c r="M69" i="3"/>
  <c r="AT104" i="3" s="1"/>
  <c r="P43" i="3"/>
  <c r="AW78" i="3" s="1"/>
  <c r="O51" i="3"/>
  <c r="AV86" i="3" s="1"/>
  <c r="M52" i="3"/>
  <c r="AT87" i="3" s="1"/>
  <c r="O57" i="3"/>
  <c r="AV92" i="3" s="1"/>
  <c r="W18" i="1"/>
  <c r="L55" i="3" l="1"/>
  <c r="AS90" i="3" s="1"/>
  <c r="M39" i="3"/>
  <c r="AT74" i="3" s="1"/>
  <c r="N50" i="3"/>
  <c r="AU85" i="3" s="1"/>
  <c r="AV102" i="3"/>
  <c r="N67" i="3"/>
  <c r="M59" i="3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DM101" i="3" s="1"/>
  <c r="O68" i="3"/>
  <c r="AW76" i="3"/>
  <c r="O41" i="3"/>
  <c r="AW99" i="3"/>
  <c r="O64" i="3"/>
  <c r="AW84" i="3"/>
  <c r="O49" i="3"/>
  <c r="AW82" i="3"/>
  <c r="O47" i="3"/>
  <c r="AW77" i="3"/>
  <c r="O42" i="3"/>
  <c r="AU96" i="3"/>
  <c r="M61" i="3"/>
  <c r="AU88" i="3"/>
  <c r="M53" i="3"/>
  <c r="AU91" i="3"/>
  <c r="M56" i="3"/>
  <c r="AU79" i="3"/>
  <c r="M44" i="3"/>
  <c r="AU97" i="3"/>
  <c r="M62" i="3"/>
  <c r="N51" i="3"/>
  <c r="AU86" i="3" s="1"/>
  <c r="L69" i="3"/>
  <c r="AS104" i="3" s="1"/>
  <c r="N57" i="3"/>
  <c r="AU92" i="3" s="1"/>
  <c r="O43" i="3"/>
  <c r="AV78" i="3" s="1"/>
  <c r="L52" i="3"/>
  <c r="AS87" i="3" s="1"/>
  <c r="X18" i="1"/>
  <c r="L39" i="3" l="1"/>
  <c r="AS74" i="3" s="1"/>
  <c r="K55" i="3"/>
  <c r="AR90" i="3" s="1"/>
  <c r="M50" i="3"/>
  <c r="AT85" i="3" s="1"/>
  <c r="AU102" i="3"/>
  <c r="M67" i="3"/>
  <c r="L59" i="3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DM97" i="3" s="1"/>
  <c r="DM96" i="3" s="1"/>
  <c r="DM95" i="3" s="1"/>
  <c r="DM94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96" i="3"/>
  <c r="L61" i="3"/>
  <c r="AT88" i="3"/>
  <c r="L53" i="3"/>
  <c r="AT79" i="3"/>
  <c r="L44" i="3"/>
  <c r="AT91" i="3"/>
  <c r="L56" i="3"/>
  <c r="AT97" i="3"/>
  <c r="L62" i="3"/>
  <c r="K52" i="3"/>
  <c r="AR87" i="3" s="1"/>
  <c r="M51" i="3"/>
  <c r="AT86" i="3" s="1"/>
  <c r="K69" i="3"/>
  <c r="AR104" i="3" s="1"/>
  <c r="N43" i="3"/>
  <c r="AU78" i="3" s="1"/>
  <c r="M57" i="3"/>
  <c r="AT92" i="3" s="1"/>
  <c r="K39" i="3"/>
  <c r="AR74" i="3" s="1"/>
  <c r="Y18" i="1"/>
  <c r="J55" i="3" l="1"/>
  <c r="AQ90" i="3" s="1"/>
  <c r="L50" i="3"/>
  <c r="AS85" i="3" s="1"/>
  <c r="AT102" i="3"/>
  <c r="L67" i="3"/>
  <c r="K59" i="3"/>
  <c r="AR94" i="3" s="1"/>
  <c r="DL101" i="3"/>
  <c r="DL100" i="3" s="1"/>
  <c r="DL99" i="3" s="1"/>
  <c r="DL98" i="3" s="1"/>
  <c r="DL97" i="3" s="1"/>
  <c r="DL96" i="3" s="1"/>
  <c r="DL95" i="3" s="1"/>
  <c r="DL94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96" i="3"/>
  <c r="K61" i="3"/>
  <c r="AS88" i="3"/>
  <c r="K53" i="3"/>
  <c r="AS97" i="3"/>
  <c r="K62" i="3"/>
  <c r="AS91" i="3"/>
  <c r="K56" i="3"/>
  <c r="AS79" i="3"/>
  <c r="K44" i="3"/>
  <c r="L57" i="3"/>
  <c r="AS92" i="3" s="1"/>
  <c r="L51" i="3"/>
  <c r="AS86" i="3" s="1"/>
  <c r="M43" i="3"/>
  <c r="AT78" i="3" s="1"/>
  <c r="J52" i="3"/>
  <c r="AQ87" i="3" s="1"/>
  <c r="J69" i="3"/>
  <c r="AQ104" i="3" s="1"/>
  <c r="J39" i="3"/>
  <c r="AQ74" i="3" s="1"/>
  <c r="Z18" i="1"/>
  <c r="I55" i="3" l="1"/>
  <c r="AP90" i="3" s="1"/>
  <c r="K50" i="3"/>
  <c r="J59" i="3"/>
  <c r="AQ94" i="3" s="1"/>
  <c r="AS102" i="3"/>
  <c r="K67" i="3"/>
  <c r="DK101" i="3"/>
  <c r="DK100" i="3" s="1"/>
  <c r="DK99" i="3" s="1"/>
  <c r="DK98" i="3" s="1"/>
  <c r="DK97" i="3" s="1"/>
  <c r="DK96" i="3" s="1"/>
  <c r="DK95" i="3" s="1"/>
  <c r="DK94" i="3" s="1"/>
  <c r="AT81" i="3"/>
  <c r="L46" i="3"/>
  <c r="AT83" i="3"/>
  <c r="L48" i="3"/>
  <c r="DL93" i="3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96" i="3"/>
  <c r="J61" i="3"/>
  <c r="AR88" i="3"/>
  <c r="J53" i="3"/>
  <c r="AR79" i="3"/>
  <c r="J44" i="3"/>
  <c r="AR91" i="3"/>
  <c r="J56" i="3"/>
  <c r="AR97" i="3"/>
  <c r="J62" i="3"/>
  <c r="I59" i="3"/>
  <c r="AP94" i="3" s="1"/>
  <c r="I69" i="3"/>
  <c r="AP104" i="3" s="1"/>
  <c r="L43" i="3"/>
  <c r="AS78" i="3" s="1"/>
  <c r="K51" i="3"/>
  <c r="AR86" i="3" s="1"/>
  <c r="I52" i="3"/>
  <c r="AP87" i="3" s="1"/>
  <c r="K57" i="3"/>
  <c r="AR92" i="3" s="1"/>
  <c r="I39" i="3"/>
  <c r="AP74" i="3" s="1"/>
  <c r="AA18" i="1"/>
  <c r="H55" i="3" l="1"/>
  <c r="AO90" i="3" s="1"/>
  <c r="AR85" i="3"/>
  <c r="J50" i="3"/>
  <c r="AR102" i="3"/>
  <c r="J67" i="3"/>
  <c r="DJ101" i="3"/>
  <c r="DJ100" i="3" s="1"/>
  <c r="DJ99" i="3" s="1"/>
  <c r="DJ98" i="3" s="1"/>
  <c r="DJ97" i="3" s="1"/>
  <c r="DJ96" i="3" s="1"/>
  <c r="DJ95" i="3" s="1"/>
  <c r="DJ94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96" i="3"/>
  <c r="I61" i="3"/>
  <c r="AQ88" i="3"/>
  <c r="I53" i="3"/>
  <c r="AQ91" i="3"/>
  <c r="I56" i="3"/>
  <c r="AQ79" i="3"/>
  <c r="I44" i="3"/>
  <c r="AQ97" i="3"/>
  <c r="I62" i="3"/>
  <c r="H39" i="3"/>
  <c r="AO74" i="3" s="1"/>
  <c r="J57" i="3"/>
  <c r="AQ92" i="3" s="1"/>
  <c r="H69" i="3"/>
  <c r="AO104" i="3" s="1"/>
  <c r="J51" i="3"/>
  <c r="AQ86" i="3" s="1"/>
  <c r="H52" i="3"/>
  <c r="AO87" i="3" s="1"/>
  <c r="K43" i="3"/>
  <c r="AR78" i="3" s="1"/>
  <c r="H59" i="3"/>
  <c r="AO94" i="3" s="1"/>
  <c r="AB18" i="1"/>
  <c r="AQ85" i="3" l="1"/>
  <c r="I50" i="3"/>
  <c r="AQ102" i="3"/>
  <c r="I67" i="3"/>
  <c r="AR81" i="3"/>
  <c r="J46" i="3"/>
  <c r="DI101" i="3"/>
  <c r="DI100" i="3" s="1"/>
  <c r="DI99" i="3" s="1"/>
  <c r="DI98" i="3" s="1"/>
  <c r="DI97" i="3" s="1"/>
  <c r="DI96" i="3" s="1"/>
  <c r="DI95" i="3" s="1"/>
  <c r="DI94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96" i="3"/>
  <c r="H61" i="3"/>
  <c r="AO96" i="3" s="1"/>
  <c r="AP88" i="3"/>
  <c r="H53" i="3"/>
  <c r="AO88" i="3" s="1"/>
  <c r="AP79" i="3"/>
  <c r="H44" i="3"/>
  <c r="AO79" i="3" s="1"/>
  <c r="AP97" i="3"/>
  <c r="H62" i="3"/>
  <c r="AO97" i="3" s="1"/>
  <c r="AP91" i="3"/>
  <c r="H56" i="3"/>
  <c r="AO91" i="3" s="1"/>
  <c r="I57" i="3"/>
  <c r="AP92" i="3" s="1"/>
  <c r="J43" i="3"/>
  <c r="AQ78" i="3" s="1"/>
  <c r="I51" i="3"/>
  <c r="AP86" i="3" s="1"/>
  <c r="AC18" i="1"/>
  <c r="AP85" i="3" l="1"/>
  <c r="H50" i="3"/>
  <c r="AO85" i="3" s="1"/>
  <c r="AP102" i="3"/>
  <c r="H67" i="3"/>
  <c r="AO102" i="3" s="1"/>
  <c r="DI93" i="3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DH97" i="3" s="1"/>
  <c r="DH96" i="3" s="1"/>
  <c r="DH95" i="3" s="1"/>
  <c r="DH94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AD18" i="1"/>
  <c r="L74" i="3" l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DG97" i="3" s="1"/>
  <c r="DG96" i="3" s="1"/>
  <c r="DG95" i="3" s="1"/>
  <c r="DG94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AE18" i="1"/>
  <c r="DG93" i="3" l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F97" i="3" s="1"/>
  <c r="DF96" i="3" s="1"/>
  <c r="DF95" i="3" s="1"/>
  <c r="DF94" i="3" s="1"/>
  <c r="DH74" i="3"/>
  <c r="DE101" i="3"/>
  <c r="DE100" i="3" s="1"/>
  <c r="DE99" i="3" s="1"/>
  <c r="DE98" i="3" s="1"/>
  <c r="DE97" i="3" s="1"/>
  <c r="DE96" i="3" s="1"/>
  <c r="DE95" i="3" s="1"/>
  <c r="DE94" i="3" s="1"/>
  <c r="AP93" i="3"/>
  <c r="H58" i="3"/>
  <c r="AO93" i="3" s="1"/>
  <c r="AF18" i="1"/>
  <c r="J74" i="3" l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AG18" i="1"/>
  <c r="DE74" i="3" l="1"/>
  <c r="DF74" i="3"/>
  <c r="AH18" i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<sst xmlns="http://schemas.openxmlformats.org/spreadsheetml/2006/main" count="78" uniqueCount="45">
  <si>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</si>
  <si>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</si>
  <si>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</si>
  <si>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</si>
  <si>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</si>
  <si>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</si>
  <si>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</si>
  <si>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</si>
  <si>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</si>
  <si>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</si>
  <si>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</si>
  <si>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</si>
  <si>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</si>
  <si>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</si>
  <si>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</si>
  <si>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</si>
  <si>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</si>
  <si>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</si>
  <si>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</si>
  <si>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</si>
  <si>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</si>
  <si>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</si>
  <si>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</si>
  <si>
    <t>Макрос DZno2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</si>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</sst>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_ ;\-0.000\ "/>
    <numFmt numFmtId="166" formatCode="0_ ;\-0\ "/>
    <numFmt numFmtId="167" formatCode="0.E+00"/>
    <numFmt numFmtId="168" formatCode="0.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2" fillId="8" borderId="3" applyNumberFormat="0" applyAlignment="0" applyProtection="0"/>
    <xf numFmtId="0" fontId="1" fillId="3" borderId="4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5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2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2" fontId="0" fillId="0" borderId="1" xfId="0" applyNumberFormat="1" applyBorder="1"/>
    <xf numFmtId="2" fontId="0" fillId="3" borderId="1" xfId="0" applyNumberFormat="1" applyFill="1" applyBorder="1"/>
    <xf numFmtId="167" fontId="0" fillId="3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0" xfId="0" applyFill="1"/>
    <xf numFmtId="0" fontId="0" fillId="9" borderId="9" xfId="0" applyFill="1" applyBorder="1"/>
    <xf numFmtId="0" fontId="0" fillId="9" borderId="7" xfId="0" applyFill="1" applyBorder="1"/>
    <xf numFmtId="0" fontId="0" fillId="9" borderId="6" xfId="0" applyFill="1" applyBorder="1"/>
    <xf numFmtId="168" fontId="0" fillId="3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Fill="1"/>
    <xf numFmtId="0" fontId="1" fillId="0" borderId="1" xfId="5" applyFill="1" applyBorder="1" applyAlignment="1">
      <alignment horizontal="center" vertical="center"/>
    </xf>
    <xf numFmtId="0" fontId="1" fillId="0" borderId="1" xfId="5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1" xfId="6" applyFill="1" applyBorder="1" applyAlignment="1">
      <alignment horizontal="center" vertical="center"/>
    </xf>
    <xf numFmtId="0" fontId="1" fillId="0" borderId="1" xfId="6" applyFill="1" applyBorder="1" applyAlignment="1">
      <alignment horizontal="center" vertical="center"/>
    </xf>
    <xf numFmtId="0" fontId="1" fillId="0" borderId="1" xfId="4" applyFill="1" applyBorder="1" applyAlignment="1">
      <alignment horizontal="center" vertical="center"/>
    </xf>
    <xf numFmtId="0" fontId="0" fillId="0" borderId="1" xfId="4" applyFont="1" applyFill="1" applyBorder="1" applyAlignment="1">
      <alignment horizontal="center" vertical="center"/>
    </xf>
    <xf numFmtId="0" fontId="1" fillId="0" borderId="1" xfId="4" applyFill="1" applyBorder="1" applyAlignment="1">
      <alignment horizontal="center" vertical="center"/>
    </xf>
    <xf numFmtId="0" fontId="0" fillId="0" borderId="1" xfId="2" applyFont="1" applyFill="1" applyBorder="1" applyAlignment="1">
      <alignment horizontal="center" vertical="center" wrapText="1"/>
    </xf>
    <xf numFmtId="0" fontId="0" fillId="0" borderId="1" xfId="2" applyFont="1" applyFill="1" applyBorder="1" applyAlignment="1">
      <alignment horizontal="center" vertical="center"/>
    </xf>
    <xf numFmtId="0" fontId="0" fillId="0" borderId="1" xfId="2" applyFont="1" applyFill="1" applyBorder="1" applyAlignment="1">
      <alignment horizontal="center"/>
    </xf>
    <xf numFmtId="164" fontId="0" fillId="0" borderId="1" xfId="2" applyNumberFormat="1" applyFont="1" applyFill="1" applyBorder="1" applyAlignment="1">
      <alignment horizontal="center"/>
    </xf>
    <xf numFmtId="0" fontId="1" fillId="0" borderId="1" xfId="3" applyFont="1" applyFill="1" applyBorder="1" applyAlignment="1">
      <alignment horizontal="center" vertical="center"/>
    </xf>
    <xf numFmtId="0" fontId="1" fillId="0" borderId="1" xfId="3" applyFont="1" applyFill="1" applyBorder="1" applyAlignment="1">
      <alignment horizontal="center" vertical="center"/>
    </xf>
    <xf numFmtId="0" fontId="2" fillId="10" borderId="10" xfId="1" applyFill="1" applyBorder="1"/>
    <xf numFmtId="0" fontId="0" fillId="10" borderId="1" xfId="0" applyFill="1" applyBorder="1" applyAlignment="1">
      <alignment horizontal="center" vertical="center"/>
    </xf>
  </cellXfs>
  <cellStyles count="7">
    <cellStyle name="40% - Акцент2" xfId="4" builtinId="35" customBuiltin="1"/>
    <cellStyle name="40% - Акцент3" xfId="5" builtinId="39" customBuiltin="1"/>
    <cellStyle name="40% -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94624"/>
        <c:axId val="138404608"/>
      </c:lineChart>
      <c:catAx>
        <c:axId val="138394624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404608"/>
        <c:crosses val="autoZero"/>
        <c:auto val="1"/>
        <c:lblAlgn val="ctr"/>
        <c:lblOffset val="100"/>
        <c:noMultiLvlLbl val="0"/>
      </c:catAx>
      <c:valAx>
        <c:axId val="1384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39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95250</xdr:rowOff>
        </xdr:from>
        <xdr:to>
          <xdr:col>2</xdr:col>
          <xdr:colOff>95250</xdr:colOff>
          <xdr:row>32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123825</xdr:rowOff>
        </xdr:from>
        <xdr:to>
          <xdr:col>2</xdr:col>
          <xdr:colOff>76200</xdr:colOff>
          <xdr:row>30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166686</xdr:colOff>
      <xdr:row>39</xdr:row>
      <xdr:rowOff>92869</xdr:rowOff>
    </xdr:from>
    <xdr:to>
      <xdr:col>17</xdr:col>
      <xdr:colOff>761999</xdr:colOff>
      <xdr:row>56</xdr:row>
      <xdr:rowOff>154781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EH162"/>
  <sheetViews>
    <sheetView tabSelected="1" zoomScaleNormal="100" workbookViewId="0">
      <selection activeCell="AQ34" sqref="AQ34"/>
    </sheetView>
  </sheetViews>
  <sheetFormatPr defaultRowHeight="15" x14ac:dyDescent="0.25"/>
  <cols>
    <col min="1" max="1" width="14.28515625" customWidth="1"/>
    <col min="2" max="2" width="13.7109375" customWidth="1"/>
    <col min="5" max="5" width="11.28515625" customWidth="1"/>
    <col min="6" max="6" width="11.85546875" customWidth="1"/>
    <col min="8" max="37" width="10.5703125" bestFit="1" customWidth="1"/>
    <col min="40" max="40" width="11.7109375" bestFit="1" customWidth="1"/>
    <col min="73" max="73" width="10.42578125" customWidth="1"/>
  </cols>
  <sheetData>
    <row r="1" spans="1:39" ht="16.5" customHeight="1" x14ac:dyDescent="0.25">
      <c r="A1" s="47" t="s">
        <v>24</v>
      </c>
      <c r="B1" s="47"/>
      <c r="E1" s="20" t="s">
        <v>35</v>
      </c>
      <c r="F1" s="20"/>
      <c r="G1" s="54">
        <v>1</v>
      </c>
      <c r="H1" s="20">
        <v>2</v>
      </c>
      <c r="I1" s="20">
        <v>3</v>
      </c>
      <c r="J1" s="20">
        <v>4</v>
      </c>
      <c r="K1" s="20">
        <v>5</v>
      </c>
      <c r="L1" s="20">
        <v>6</v>
      </c>
      <c r="M1" s="20">
        <v>7</v>
      </c>
      <c r="N1" s="20">
        <v>8</v>
      </c>
      <c r="O1" s="20">
        <v>9</v>
      </c>
      <c r="P1" s="20">
        <v>10</v>
      </c>
      <c r="Q1" s="20">
        <v>11</v>
      </c>
      <c r="R1" s="20">
        <v>12</v>
      </c>
      <c r="S1" s="20">
        <v>13</v>
      </c>
      <c r="T1" s="20">
        <v>14</v>
      </c>
      <c r="U1" s="20">
        <v>15</v>
      </c>
      <c r="V1" s="20">
        <v>16</v>
      </c>
      <c r="W1" s="20">
        <v>17</v>
      </c>
      <c r="X1" s="20">
        <v>18</v>
      </c>
      <c r="Y1" s="20">
        <v>19</v>
      </c>
      <c r="Z1" s="20">
        <v>20</v>
      </c>
      <c r="AA1" s="20">
        <v>21</v>
      </c>
      <c r="AB1" s="20">
        <v>22</v>
      </c>
      <c r="AC1" s="20">
        <v>23</v>
      </c>
      <c r="AD1" s="20">
        <v>24</v>
      </c>
      <c r="AE1" s="20">
        <v>25</v>
      </c>
      <c r="AF1" s="20">
        <v>26</v>
      </c>
      <c r="AG1" s="20">
        <v>27</v>
      </c>
      <c r="AH1" s="20">
        <v>28</v>
      </c>
      <c r="AI1" s="20">
        <v>29</v>
      </c>
      <c r="AJ1" s="20">
        <v>30</v>
      </c>
      <c r="AK1" s="20">
        <v>31</v>
      </c>
      <c r="AL1" s="26"/>
      <c r="AM1" s="28"/>
    </row>
    <row r="2" spans="1:39" x14ac:dyDescent="0.25">
      <c r="A2" s="47"/>
      <c r="B2" s="47"/>
      <c r="E2" s="20"/>
      <c r="F2" s="20" t="s">
        <v>36</v>
      </c>
      <c r="G2" s="20">
        <v>0</v>
      </c>
      <c r="H2" s="21">
        <f>$B$5*(H1-1)</f>
        <v>3.3333333333333335E-3</v>
      </c>
      <c r="I2" s="21">
        <f t="shared" ref="I2:AK2" si="0">$B$5*(I1-1)</f>
        <v>6.6666666666666671E-3</v>
      </c>
      <c r="J2" s="21">
        <f t="shared" si="0"/>
        <v>0.01</v>
      </c>
      <c r="K2" s="21">
        <f t="shared" si="0"/>
        <v>1.3333333333333334E-2</v>
      </c>
      <c r="L2" s="21">
        <f t="shared" si="0"/>
        <v>1.6666666666666666E-2</v>
      </c>
      <c r="M2" s="21">
        <f t="shared" si="0"/>
        <v>0.02</v>
      </c>
      <c r="N2" s="21">
        <f t="shared" si="0"/>
        <v>2.3333333333333334E-2</v>
      </c>
      <c r="O2" s="21">
        <f t="shared" si="0"/>
        <v>2.6666666666666668E-2</v>
      </c>
      <c r="P2" s="21">
        <f t="shared" si="0"/>
        <v>3.0000000000000002E-2</v>
      </c>
      <c r="Q2" s="21">
        <f t="shared" si="0"/>
        <v>3.3333333333333333E-2</v>
      </c>
      <c r="R2" s="21">
        <f t="shared" si="0"/>
        <v>3.6666666666666667E-2</v>
      </c>
      <c r="S2" s="21">
        <f t="shared" si="0"/>
        <v>0.04</v>
      </c>
      <c r="T2" s="21">
        <f t="shared" si="0"/>
        <v>4.3333333333333335E-2</v>
      </c>
      <c r="U2" s="21">
        <f t="shared" si="0"/>
        <v>4.6666666666666669E-2</v>
      </c>
      <c r="V2" s="21">
        <f t="shared" si="0"/>
        <v>0.05</v>
      </c>
      <c r="W2" s="21">
        <f t="shared" si="0"/>
        <v>5.3333333333333337E-2</v>
      </c>
      <c r="X2" s="21">
        <f t="shared" si="0"/>
        <v>5.6666666666666671E-2</v>
      </c>
      <c r="Y2" s="21">
        <f t="shared" si="0"/>
        <v>6.0000000000000005E-2</v>
      </c>
      <c r="Z2" s="21">
        <f t="shared" si="0"/>
        <v>6.3333333333333339E-2</v>
      </c>
      <c r="AA2" s="21">
        <f t="shared" si="0"/>
        <v>6.6666666666666666E-2</v>
      </c>
      <c r="AB2" s="21">
        <f t="shared" si="0"/>
        <v>7.0000000000000007E-2</v>
      </c>
      <c r="AC2" s="21">
        <f t="shared" si="0"/>
        <v>7.3333333333333334E-2</v>
      </c>
      <c r="AD2" s="21">
        <f t="shared" si="0"/>
        <v>7.6666666666666675E-2</v>
      </c>
      <c r="AE2" s="21">
        <f t="shared" si="0"/>
        <v>0.08</v>
      </c>
      <c r="AF2" s="21">
        <f t="shared" si="0"/>
        <v>8.3333333333333343E-2</v>
      </c>
      <c r="AG2" s="21">
        <f t="shared" si="0"/>
        <v>8.666666666666667E-2</v>
      </c>
      <c r="AH2" s="21">
        <f t="shared" si="0"/>
        <v>9.0000000000000011E-2</v>
      </c>
      <c r="AI2" s="21">
        <f t="shared" si="0"/>
        <v>9.3333333333333338E-2</v>
      </c>
      <c r="AJ2" s="21">
        <f t="shared" si="0"/>
        <v>9.6666666666666679E-2</v>
      </c>
      <c r="AK2" s="21">
        <f t="shared" si="0"/>
        <v>0.1</v>
      </c>
      <c r="AL2" s="26"/>
      <c r="AM2" s="29"/>
    </row>
    <row r="3" spans="1:39" x14ac:dyDescent="0.25">
      <c r="A3" s="48" t="s">
        <v>0</v>
      </c>
      <c r="B3" s="49">
        <v>0.1</v>
      </c>
      <c r="E3" s="20">
        <v>31</v>
      </c>
      <c r="F3" s="21">
        <f t="shared" ref="F3:F31" si="1">$B$6*(E3-1)</f>
        <v>0.1</v>
      </c>
      <c r="G3" s="9">
        <f>$B$16</f>
        <v>300</v>
      </c>
      <c r="H3" s="9">
        <v>293.46264401360287</v>
      </c>
      <c r="I3" s="9">
        <v>286.92387123877137</v>
      </c>
      <c r="J3" s="9">
        <v>280.38228041116832</v>
      </c>
      <c r="K3" s="9">
        <v>273.83650114450199</v>
      </c>
      <c r="L3" s="9">
        <v>267.28520894604242</v>
      </c>
      <c r="M3" s="9">
        <v>260.72713972913681</v>
      </c>
      <c r="N3" s="9">
        <v>254.16110366367408</v>
      </c>
      <c r="O3" s="9">
        <v>247.58599821271304</v>
      </c>
      <c r="P3" s="9">
        <v>241.00082021241411</v>
      </c>
      <c r="Q3" s="9">
        <v>234.40467686291211</v>
      </c>
      <c r="R3" s="9">
        <v>227.7967955097123</v>
      </c>
      <c r="S3" s="9">
        <v>221.17653210845413</v>
      </c>
      <c r="T3" s="9">
        <v>214.54337828032973</v>
      </c>
      <c r="U3" s="9">
        <v>207.89696688089217</v>
      </c>
      <c r="V3" s="9">
        <v>201.23707602128948</v>
      </c>
      <c r="W3" s="9">
        <v>194.56363149792296</v>
      </c>
      <c r="X3" s="9">
        <v>187.87670760397032</v>
      </c>
      <c r="Y3" s="9">
        <v>181.17652631394716</v>
      </c>
      <c r="Z3" s="9">
        <v>174.46345485030562</v>
      </c>
      <c r="AA3" s="9">
        <v>167.73800165879035</v>
      </c>
      <c r="AB3" s="9">
        <v>161.0008108367048</v>
      </c>
      <c r="AC3" s="9">
        <v>154.25265507517975</v>
      </c>
      <c r="AD3" s="9">
        <v>147.49442719280739</v>
      </c>
      <c r="AE3" s="9">
        <v>140.7271303534273</v>
      </c>
      <c r="AF3" s="9">
        <v>133.95186707525374</v>
      </c>
      <c r="AG3" s="9">
        <v>127.16982715176175</v>
      </c>
      <c r="AH3" s="9">
        <v>120.38227461666111</v>
      </c>
      <c r="AI3" s="9">
        <v>113.59053389574501</v>
      </c>
      <c r="AJ3" s="9">
        <v>106.79597529730026</v>
      </c>
      <c r="AK3" s="9">
        <f>$B$17</f>
        <v>100</v>
      </c>
      <c r="AL3" s="21">
        <f>$B$6*(AM3-1)</f>
        <v>0.1</v>
      </c>
      <c r="AM3" s="20">
        <v>31</v>
      </c>
    </row>
    <row r="4" spans="1:39" x14ac:dyDescent="0.25">
      <c r="A4" s="48" t="s">
        <v>25</v>
      </c>
      <c r="B4" s="49">
        <v>0.1</v>
      </c>
      <c r="E4" s="20">
        <v>30</v>
      </c>
      <c r="F4" s="21">
        <f t="shared" si="1"/>
        <v>9.6666666666666679E-2</v>
      </c>
      <c r="G4" s="9">
        <f t="shared" ref="G4:G33" si="2">$B$16</f>
        <v>300</v>
      </c>
      <c r="H4" s="9">
        <v>293.46264401360293</v>
      </c>
      <c r="I4" s="9">
        <v>286.92387123877137</v>
      </c>
      <c r="J4" s="9">
        <v>280.38228041116832</v>
      </c>
      <c r="K4" s="9">
        <v>273.83650114450199</v>
      </c>
      <c r="L4" s="9">
        <v>267.28520894604242</v>
      </c>
      <c r="M4" s="9">
        <v>260.72713972913681</v>
      </c>
      <c r="N4" s="9">
        <v>254.16110366367411</v>
      </c>
      <c r="O4" s="9">
        <v>247.58599821271304</v>
      </c>
      <c r="P4" s="9">
        <v>241.00082021241411</v>
      </c>
      <c r="Q4" s="9">
        <v>234.40467686291214</v>
      </c>
      <c r="R4" s="9">
        <v>227.7967955097123</v>
      </c>
      <c r="S4" s="9">
        <v>221.17653210845413</v>
      </c>
      <c r="T4" s="9">
        <v>214.54337828032976</v>
      </c>
      <c r="U4" s="9">
        <v>207.89696688089217</v>
      </c>
      <c r="V4" s="9">
        <v>201.23707602128951</v>
      </c>
      <c r="W4" s="9">
        <v>194.56363149792298</v>
      </c>
      <c r="X4" s="9">
        <v>187.87670760397032</v>
      </c>
      <c r="Y4" s="9">
        <v>181.17652631394719</v>
      </c>
      <c r="Z4" s="9">
        <v>174.46345485030565</v>
      </c>
      <c r="AA4" s="9">
        <v>167.73800165879038</v>
      </c>
      <c r="AB4" s="9">
        <v>161.00081083670483</v>
      </c>
      <c r="AC4" s="9">
        <v>154.25265507517975</v>
      </c>
      <c r="AD4" s="9">
        <v>147.49442719280739</v>
      </c>
      <c r="AE4" s="9">
        <v>140.7271303534273</v>
      </c>
      <c r="AF4" s="9">
        <v>133.95186707525374</v>
      </c>
      <c r="AG4" s="9">
        <v>127.16982715176175</v>
      </c>
      <c r="AH4" s="9">
        <v>120.38227461666111</v>
      </c>
      <c r="AI4" s="9">
        <v>113.59053389574501</v>
      </c>
      <c r="AJ4" s="9">
        <v>106.79597529730026</v>
      </c>
      <c r="AK4" s="9">
        <f t="shared" ref="AK4:AK33" si="3">$B$17</f>
        <v>100</v>
      </c>
      <c r="AL4" s="21">
        <f t="shared" ref="AL4:AL33" si="4">$B$6*(AM4-1)</f>
        <v>9.6666666666666679E-2</v>
      </c>
      <c r="AM4" s="20">
        <v>30</v>
      </c>
    </row>
    <row r="5" spans="1:39" x14ac:dyDescent="0.25">
      <c r="A5" s="48" t="s">
        <v>1</v>
      </c>
      <c r="B5" s="50">
        <f>B3/30</f>
        <v>3.3333333333333335E-3</v>
      </c>
      <c r="E5" s="20">
        <v>29</v>
      </c>
      <c r="F5" s="21">
        <f t="shared" si="1"/>
        <v>9.3333333333333338E-2</v>
      </c>
      <c r="G5" s="9">
        <f t="shared" si="2"/>
        <v>300</v>
      </c>
      <c r="H5" s="9">
        <v>293.46263942214341</v>
      </c>
      <c r="I5" s="9">
        <v>286.92386210617468</v>
      </c>
      <c r="J5" s="9">
        <v>280.38226683752691</v>
      </c>
      <c r="K5" s="9">
        <v>273.83648327858054</v>
      </c>
      <c r="L5" s="9">
        <v>267.28518698364564</v>
      </c>
      <c r="M5" s="9">
        <v>260.72711391096146</v>
      </c>
      <c r="N5" s="9">
        <v>254.1610742726688</v>
      </c>
      <c r="O5" s="9">
        <v>247.58596557097462</v>
      </c>
      <c r="P5" s="9">
        <v>241.00078467765519</v>
      </c>
      <c r="Q5" s="9">
        <v>234.4046388245383</v>
      </c>
      <c r="R5" s="9">
        <v>227.796755384552</v>
      </c>
      <c r="S5" s="9">
        <v>221.17649033618898</v>
      </c>
      <c r="T5" s="9">
        <v>214.54333531867439</v>
      </c>
      <c r="U5" s="9">
        <v>207.89692320057739</v>
      </c>
      <c r="V5" s="9">
        <v>201.23703210090332</v>
      </c>
      <c r="W5" s="9">
        <v>194.56358781866632</v>
      </c>
      <c r="X5" s="9">
        <v>187.8766646443849</v>
      </c>
      <c r="Y5" s="9">
        <v>181.1764845446734</v>
      </c>
      <c r="Z5" s="9">
        <v>174.46341472892738</v>
      </c>
      <c r="AA5" s="9">
        <v>167.73796362482389</v>
      </c>
      <c r="AB5" s="9">
        <v>161.00077530678607</v>
      </c>
      <c r="AC5" s="9">
        <v>154.25262243850273</v>
      </c>
      <c r="AD5" s="9">
        <v>147.49439780686345</v>
      </c>
      <c r="AE5" s="9">
        <v>140.72710454009211</v>
      </c>
      <c r="AF5" s="9">
        <v>133.95184511726433</v>
      </c>
      <c r="AG5" s="9">
        <v>127.16980928962232</v>
      </c>
      <c r="AH5" s="9">
        <v>120.38226104601105</v>
      </c>
      <c r="AI5" s="9">
        <v>113.59052476521825</v>
      </c>
      <c r="AJ5" s="9">
        <v>106.79597070689884</v>
      </c>
      <c r="AK5" s="9">
        <f t="shared" si="3"/>
        <v>100</v>
      </c>
      <c r="AL5" s="21">
        <f t="shared" si="4"/>
        <v>9.3333333333333338E-2</v>
      </c>
      <c r="AM5" s="20">
        <v>29</v>
      </c>
    </row>
    <row r="6" spans="1:39" x14ac:dyDescent="0.25">
      <c r="A6" s="48" t="s">
        <v>26</v>
      </c>
      <c r="B6" s="50">
        <f>B4/30</f>
        <v>3.3333333333333335E-3</v>
      </c>
      <c r="C6" s="53" t="s">
        <v>31</v>
      </c>
      <c r="E6" s="20">
        <v>28</v>
      </c>
      <c r="F6" s="21">
        <f t="shared" si="1"/>
        <v>9.0000000000000011E-2</v>
      </c>
      <c r="G6" s="9">
        <v>300</v>
      </c>
      <c r="H6" s="9">
        <v>293.46263029306328</v>
      </c>
      <c r="I6" s="9">
        <v>286.92384394806902</v>
      </c>
      <c r="J6" s="9">
        <v>280.38223984940709</v>
      </c>
      <c r="K6" s="9">
        <v>273.83644775623145</v>
      </c>
      <c r="L6" s="9">
        <v>267.2851433163807</v>
      </c>
      <c r="M6" s="9">
        <v>260.72706257735183</v>
      </c>
      <c r="N6" s="9">
        <v>254.16101583529382</v>
      </c>
      <c r="O6" s="9">
        <v>247.58590067025128</v>
      </c>
      <c r="P6" s="9">
        <v>241.00071402481404</v>
      </c>
      <c r="Q6" s="9">
        <v>234.40456319382429</v>
      </c>
      <c r="R6" s="9">
        <v>227.79667560473459</v>
      </c>
      <c r="S6" s="9">
        <v>221.17640728147563</v>
      </c>
      <c r="T6" s="9">
        <v>214.54324989912726</v>
      </c>
      <c r="U6" s="9">
        <v>207.89683635213839</v>
      </c>
      <c r="V6" s="9">
        <v>201.23694477513649</v>
      </c>
      <c r="W6" s="9">
        <v>194.5635009723311</v>
      </c>
      <c r="X6" s="9">
        <v>187.87657922895343</v>
      </c>
      <c r="Y6" s="9">
        <v>181.17640149590767</v>
      </c>
      <c r="Z6" s="9">
        <v>174.46333495662958</v>
      </c>
      <c r="AA6" s="9">
        <v>167.73788800287292</v>
      </c>
      <c r="AB6" s="9">
        <v>161.00070466356834</v>
      </c>
      <c r="AC6" s="9">
        <v>154.2525575478426</v>
      </c>
      <c r="AD6" s="9">
        <v>147.49433937955177</v>
      </c>
      <c r="AE6" s="9">
        <v>140.72705321610596</v>
      </c>
      <c r="AF6" s="9">
        <v>133.95180145876242</v>
      </c>
      <c r="AG6" s="9">
        <v>127.1697737747929</v>
      </c>
      <c r="AH6" s="9">
        <v>120.38223406383887</v>
      </c>
      <c r="AI6" s="9">
        <v>113.59050661122822</v>
      </c>
      <c r="AJ6" s="9">
        <v>106.79596157992253</v>
      </c>
      <c r="AK6" s="9">
        <f t="shared" si="3"/>
        <v>100</v>
      </c>
      <c r="AL6" s="21">
        <f t="shared" si="4"/>
        <v>9.0000000000000011E-2</v>
      </c>
      <c r="AM6" s="20">
        <v>28</v>
      </c>
    </row>
    <row r="7" spans="1:39" x14ac:dyDescent="0.25">
      <c r="A7" s="48" t="s">
        <v>3</v>
      </c>
      <c r="B7" s="49">
        <v>120</v>
      </c>
      <c r="C7">
        <v>121</v>
      </c>
      <c r="E7" s="20">
        <v>27</v>
      </c>
      <c r="F7" s="21">
        <f t="shared" si="1"/>
        <v>8.666666666666667E-2</v>
      </c>
      <c r="G7" s="9">
        <v>300</v>
      </c>
      <c r="H7" s="9">
        <v>293.46261673340894</v>
      </c>
      <c r="I7" s="9">
        <v>286.92381697737375</v>
      </c>
      <c r="J7" s="9">
        <v>280.38219976326775</v>
      </c>
      <c r="K7" s="9">
        <v>273.8363949939847</v>
      </c>
      <c r="L7" s="9">
        <v>267.28507845628371</v>
      </c>
      <c r="M7" s="9">
        <v>260.7269863302385</v>
      </c>
      <c r="N7" s="9">
        <v>254.16092903677753</v>
      </c>
      <c r="O7" s="9">
        <v>247.58580427155948</v>
      </c>
      <c r="P7" s="9">
        <v>241.00060908235574</v>
      </c>
      <c r="Q7" s="9">
        <v>234.40445085760507</v>
      </c>
      <c r="R7" s="9">
        <v>227.79655710574667</v>
      </c>
      <c r="S7" s="9">
        <v>221.17628391820165</v>
      </c>
      <c r="T7" s="9">
        <v>214.54312302330572</v>
      </c>
      <c r="U7" s="9">
        <v>207.89670735394742</v>
      </c>
      <c r="V7" s="9">
        <v>201.23681506795842</v>
      </c>
      <c r="W7" s="9">
        <v>194.56337197726492</v>
      </c>
      <c r="X7" s="9">
        <v>187.87645235924489</v>
      </c>
      <c r="Y7" s="9">
        <v>181.17627814146778</v>
      </c>
      <c r="Z7" s="9">
        <v>174.46321646881074</v>
      </c>
      <c r="AA7" s="9">
        <v>167.7377756796696</v>
      </c>
      <c r="AB7" s="9">
        <v>161.00059973540394</v>
      </c>
      <c r="AC7" s="9">
        <v>154.25246116409795</v>
      </c>
      <c r="AD7" s="9">
        <v>147.49425259598263</v>
      </c>
      <c r="AE7" s="9">
        <v>140.72697698328651</v>
      </c>
      <c r="AF7" s="9">
        <v>133.95173661168133</v>
      </c>
      <c r="AG7" s="9">
        <v>127.16972102371524</v>
      </c>
      <c r="AH7" s="9">
        <v>120.38219398653359</v>
      </c>
      <c r="AI7" s="9">
        <v>113.59047964664603</v>
      </c>
      <c r="AJ7" s="9">
        <v>106.79594802339292</v>
      </c>
      <c r="AK7" s="9">
        <f t="shared" si="3"/>
        <v>100</v>
      </c>
      <c r="AL7" s="21">
        <f t="shared" si="4"/>
        <v>8.666666666666667E-2</v>
      </c>
      <c r="AM7" s="20">
        <v>27</v>
      </c>
    </row>
    <row r="8" spans="1:39" x14ac:dyDescent="0.25">
      <c r="A8" s="48" t="s">
        <v>2</v>
      </c>
      <c r="B8" s="49">
        <v>1</v>
      </c>
      <c r="E8" s="20">
        <v>26</v>
      </c>
      <c r="F8" s="21">
        <f t="shared" si="1"/>
        <v>8.3333333333333343E-2</v>
      </c>
      <c r="G8" s="9">
        <f t="shared" si="2"/>
        <v>300</v>
      </c>
      <c r="H8" s="9">
        <v>293.46259890217812</v>
      </c>
      <c r="I8" s="9">
        <v>286.92378151034205</v>
      </c>
      <c r="J8" s="9">
        <v>280.38214704915094</v>
      </c>
      <c r="K8" s="9">
        <v>273.83632561052008</v>
      </c>
      <c r="L8" s="9">
        <v>267.28499316389139</v>
      </c>
      <c r="M8" s="9">
        <v>260.72688606368013</v>
      </c>
      <c r="N8" s="9">
        <v>254.16081489490227</v>
      </c>
      <c r="O8" s="9">
        <v>247.58567750525143</v>
      </c>
      <c r="P8" s="9">
        <v>241.00047108081498</v>
      </c>
      <c r="Q8" s="9">
        <v>234.4043031331131</v>
      </c>
      <c r="R8" s="9">
        <v>227.79640127708421</v>
      </c>
      <c r="S8" s="9">
        <v>221.17612169290067</v>
      </c>
      <c r="T8" s="9">
        <v>214.54295617893075</v>
      </c>
      <c r="U8" s="9">
        <v>207.89653771861197</v>
      </c>
      <c r="V8" s="9">
        <v>201.23664450029003</v>
      </c>
      <c r="W8" s="9">
        <v>194.56320234603865</v>
      </c>
      <c r="X8" s="9">
        <v>187.87628552290866</v>
      </c>
      <c r="Y8" s="9">
        <v>181.17611592778377</v>
      </c>
      <c r="Z8" s="9">
        <v>174.46306065483583</v>
      </c>
      <c r="AA8" s="9">
        <v>167.73762797229375</v>
      </c>
      <c r="AB8" s="9">
        <v>161.00046175265985</v>
      </c>
      <c r="AC8" s="9">
        <v>154.25233441744567</v>
      </c>
      <c r="AD8" s="9">
        <v>147.49413847376309</v>
      </c>
      <c r="AE8" s="9">
        <v>140.72687673552483</v>
      </c>
      <c r="AF8" s="9">
        <v>133.95165133640518</v>
      </c>
      <c r="AG8" s="9">
        <v>127.16965165493812</v>
      </c>
      <c r="AH8" s="9">
        <v>120.38214128403385</v>
      </c>
      <c r="AI8" s="9">
        <v>113.59044418765308</v>
      </c>
      <c r="AJ8" s="9">
        <v>106.79593019627124</v>
      </c>
      <c r="AK8" s="9">
        <f t="shared" si="3"/>
        <v>100</v>
      </c>
      <c r="AL8" s="21">
        <f t="shared" si="4"/>
        <v>8.3333333333333343E-2</v>
      </c>
      <c r="AM8" s="20">
        <v>26</v>
      </c>
    </row>
    <row r="9" spans="1:39" x14ac:dyDescent="0.25">
      <c r="A9" s="38"/>
      <c r="B9" s="38"/>
      <c r="E9" s="20">
        <v>25</v>
      </c>
      <c r="F9" s="21">
        <f t="shared" si="1"/>
        <v>0.08</v>
      </c>
      <c r="G9" s="9">
        <f t="shared" si="2"/>
        <v>300</v>
      </c>
      <c r="H9" s="9">
        <v>293.46257700845501</v>
      </c>
      <c r="I9" s="9">
        <v>286.92373796285074</v>
      </c>
      <c r="J9" s="9">
        <v>280.38208232516848</v>
      </c>
      <c r="K9" s="9">
        <v>273.83624041940942</v>
      </c>
      <c r="L9" s="9">
        <v>267.28488843931956</v>
      </c>
      <c r="M9" s="9">
        <v>260.7267629533755</v>
      </c>
      <c r="N9" s="9">
        <v>254.16067474806505</v>
      </c>
      <c r="O9" s="9">
        <v>247.58552185775483</v>
      </c>
      <c r="P9" s="9">
        <v>241.00030163836072</v>
      </c>
      <c r="Q9" s="9">
        <v>234.40412175252612</v>
      </c>
      <c r="R9" s="9">
        <v>227.79620994595226</v>
      </c>
      <c r="S9" s="9">
        <v>221.1759225077829</v>
      </c>
      <c r="T9" s="9">
        <v>214.54275132237467</v>
      </c>
      <c r="U9" s="9">
        <v>207.89632943523043</v>
      </c>
      <c r="V9" s="9">
        <v>201.23643507216195</v>
      </c>
      <c r="W9" s="9">
        <v>194.56299406770245</v>
      </c>
      <c r="X9" s="9">
        <v>187.87608067622273</v>
      </c>
      <c r="Y9" s="9">
        <v>181.17591675692967</v>
      </c>
      <c r="Z9" s="9">
        <v>174.46286934173753</v>
      </c>
      <c r="AA9" s="9">
        <v>167.73744661272232</v>
      </c>
      <c r="AB9" s="9">
        <v>161.00029233328462</v>
      </c>
      <c r="AC9" s="9">
        <v>154.25217879408282</v>
      </c>
      <c r="AD9" s="9">
        <v>147.49399835105962</v>
      </c>
      <c r="AE9" s="9">
        <v>140.72675364829919</v>
      </c>
      <c r="AF9" s="9">
        <v>133.9515466328489</v>
      </c>
      <c r="AG9" s="9">
        <v>127.16956648186114</v>
      </c>
      <c r="AH9" s="9">
        <v>120.38207657431497</v>
      </c>
      <c r="AI9" s="9">
        <v>113.59040065003192</v>
      </c>
      <c r="AJ9" s="9">
        <v>106.79590830759351</v>
      </c>
      <c r="AK9" s="9">
        <f t="shared" si="3"/>
        <v>100</v>
      </c>
      <c r="AL9" s="21">
        <f t="shared" si="4"/>
        <v>0.08</v>
      </c>
      <c r="AM9" s="20">
        <v>25</v>
      </c>
    </row>
    <row r="10" spans="1:39" x14ac:dyDescent="0.25">
      <c r="A10" s="39" t="s">
        <v>27</v>
      </c>
      <c r="B10" s="39"/>
      <c r="E10" s="20">
        <v>24</v>
      </c>
      <c r="F10" s="21">
        <f t="shared" si="1"/>
        <v>7.6666666666666675E-2</v>
      </c>
      <c r="G10" s="9">
        <v>300</v>
      </c>
      <c r="H10" s="9">
        <v>293.46255130895759</v>
      </c>
      <c r="I10" s="9">
        <v>286.92368684552201</v>
      </c>
      <c r="J10" s="9">
        <v>280.38200635025026</v>
      </c>
      <c r="K10" s="9">
        <v>273.83614041957304</v>
      </c>
      <c r="L10" s="9">
        <v>267.28476551053075</v>
      </c>
      <c r="M10" s="9">
        <v>260.72661844287165</v>
      </c>
      <c r="N10" s="9">
        <v>254.16051023957712</v>
      </c>
      <c r="O10" s="9">
        <v>247.58533915413608</v>
      </c>
      <c r="P10" s="9">
        <v>241.00010274181415</v>
      </c>
      <c r="Q10" s="9">
        <v>234.40390884264747</v>
      </c>
      <c r="R10" s="9">
        <v>227.79598535583062</v>
      </c>
      <c r="S10" s="9">
        <v>221.17568869842131</v>
      </c>
      <c r="T10" s="9">
        <v>214.54251085571155</v>
      </c>
      <c r="U10" s="9">
        <v>207.89608494605858</v>
      </c>
      <c r="V10" s="9">
        <v>201.23618923925284</v>
      </c>
      <c r="W10" s="9">
        <v>194.56274958445289</v>
      </c>
      <c r="X10" s="9">
        <v>187.87584022114544</v>
      </c>
      <c r="Y10" s="9">
        <v>181.17568296431102</v>
      </c>
      <c r="Z10" s="9">
        <v>174.46264477278424</v>
      </c>
      <c r="AA10" s="9">
        <v>167.7372337275122</v>
      </c>
      <c r="AB10" s="9">
        <v>161.00009346382868</v>
      </c>
      <c r="AC10" s="9">
        <v>154.25199611879285</v>
      </c>
      <c r="AD10" s="9">
        <v>147.49383387090043</v>
      </c>
      <c r="AE10" s="9">
        <v>140.72660916488599</v>
      </c>
      <c r="AF10" s="9">
        <v>133.9514237287286</v>
      </c>
      <c r="AG10" s="9">
        <v>127.16946650319306</v>
      </c>
      <c r="AH10" s="9">
        <v>120.38200061613972</v>
      </c>
      <c r="AI10" s="9">
        <v>113.59034954428903</v>
      </c>
      <c r="AJ10" s="9">
        <v>106.79588261401844</v>
      </c>
      <c r="AK10" s="9">
        <f t="shared" si="3"/>
        <v>100</v>
      </c>
      <c r="AL10" s="21">
        <f t="shared" si="4"/>
        <v>7.6666666666666675E-2</v>
      </c>
      <c r="AM10" s="20">
        <v>24</v>
      </c>
    </row>
    <row r="11" spans="1:39" x14ac:dyDescent="0.25">
      <c r="A11" s="40" t="s">
        <v>4</v>
      </c>
      <c r="B11" s="40">
        <v>460</v>
      </c>
      <c r="E11" s="20">
        <v>23</v>
      </c>
      <c r="F11" s="21">
        <f t="shared" si="1"/>
        <v>7.3333333333333334E-2</v>
      </c>
      <c r="G11" s="9">
        <f t="shared" si="2"/>
        <v>300</v>
      </c>
      <c r="H11" s="9">
        <v>293.4625221050261</v>
      </c>
      <c r="I11" s="9">
        <v>286.92362875773364</v>
      </c>
      <c r="J11" s="9">
        <v>280.38192001524254</v>
      </c>
      <c r="K11" s="9">
        <v>273.83602678356192</v>
      </c>
      <c r="L11" s="9">
        <v>267.28462581893007</v>
      </c>
      <c r="M11" s="9">
        <v>260.72645422663078</v>
      </c>
      <c r="N11" s="9">
        <v>254.16032329838762</v>
      </c>
      <c r="O11" s="9">
        <v>247.5851315366919</v>
      </c>
      <c r="P11" s="9">
        <v>240.99987672334254</v>
      </c>
      <c r="Q11" s="9">
        <v>234.40366689995818</v>
      </c>
      <c r="R11" s="9">
        <v>227.79573014015739</v>
      </c>
      <c r="S11" s="9">
        <v>221.17542300635435</v>
      </c>
      <c r="T11" s="9">
        <v>214.54223759854028</v>
      </c>
      <c r="U11" s="9">
        <v>207.8958071178613</v>
      </c>
      <c r="V11" s="9">
        <v>201.23590988408367</v>
      </c>
      <c r="W11" s="9">
        <v>194.5624717629855</v>
      </c>
      <c r="X11" s="9">
        <v>187.87556697713973</v>
      </c>
      <c r="Y11" s="9">
        <v>181.17541729126995</v>
      </c>
      <c r="Z11" s="9">
        <v>174.46238958116572</v>
      </c>
      <c r="AA11" s="9">
        <v>167.73699181285508</v>
      </c>
      <c r="AB11" s="9">
        <v>160.99986747614156</v>
      </c>
      <c r="AC11" s="9">
        <v>154.25178853354009</v>
      </c>
      <c r="AD11" s="9">
        <v>147.49364696190236</v>
      </c>
      <c r="AE11" s="9">
        <v>140.7264449794296</v>
      </c>
      <c r="AF11" s="9">
        <v>133.95128406516005</v>
      </c>
      <c r="AG11" s="9">
        <v>127.16935289123663</v>
      </c>
      <c r="AH11" s="9">
        <v>120.38191430015789</v>
      </c>
      <c r="AI11" s="9">
        <v>113.59029146966621</v>
      </c>
      <c r="AJ11" s="9">
        <v>106.79585341681681</v>
      </c>
      <c r="AK11" s="9">
        <f t="shared" si="3"/>
        <v>100</v>
      </c>
      <c r="AL11" s="21">
        <f t="shared" si="4"/>
        <v>7.3333333333333334E-2</v>
      </c>
      <c r="AM11" s="20">
        <v>23</v>
      </c>
    </row>
    <row r="12" spans="1:39" x14ac:dyDescent="0.25">
      <c r="A12" s="40" t="s">
        <v>5</v>
      </c>
      <c r="B12" s="40">
        <v>7800</v>
      </c>
      <c r="E12" s="20">
        <v>22</v>
      </c>
      <c r="F12" s="21">
        <f t="shared" si="1"/>
        <v>7.0000000000000007E-2</v>
      </c>
      <c r="G12" s="9">
        <f t="shared" si="2"/>
        <v>300</v>
      </c>
      <c r="H12" s="9">
        <v>293.46248973908837</v>
      </c>
      <c r="I12" s="9">
        <v>286.92356438058829</v>
      </c>
      <c r="J12" s="9">
        <v>280.381824332458</v>
      </c>
      <c r="K12" s="9">
        <v>273.83590084380404</v>
      </c>
      <c r="L12" s="9">
        <v>267.28447100245768</v>
      </c>
      <c r="M12" s="9">
        <v>260.72627223015434</v>
      </c>
      <c r="N12" s="9">
        <v>254.16011611645717</v>
      </c>
      <c r="O12" s="9">
        <v>247.58490143982024</v>
      </c>
      <c r="P12" s="9">
        <v>240.99962623310336</v>
      </c>
      <c r="Q12" s="9">
        <v>234.40339876133356</v>
      </c>
      <c r="R12" s="9">
        <v>227.79544729143896</v>
      </c>
      <c r="S12" s="9">
        <v>221.17512854692836</v>
      </c>
      <c r="T12" s="9">
        <v>214.54193475491104</v>
      </c>
      <c r="U12" s="9">
        <v>207.89549920828594</v>
      </c>
      <c r="V12" s="9">
        <v>201.23560028220606</v>
      </c>
      <c r="W12" s="9">
        <v>194.56216386086857</v>
      </c>
      <c r="X12" s="9">
        <v>187.87526414810142</v>
      </c>
      <c r="Y12" s="9">
        <v>181.17512285292963</v>
      </c>
      <c r="Z12" s="9">
        <v>174.46210675910618</v>
      </c>
      <c r="AA12" s="9">
        <v>167.73672370529749</v>
      </c>
      <c r="AB12" s="9">
        <v>160.99961702001974</v>
      </c>
      <c r="AC12" s="9">
        <v>154.25155847234504</v>
      </c>
      <c r="AD12" s="9">
        <v>147.49343981564851</v>
      </c>
      <c r="AE12" s="9">
        <v>140.72626301707049</v>
      </c>
      <c r="AF12" s="9">
        <v>133.9511292797547</v>
      </c>
      <c r="AG12" s="9">
        <v>127.16922697813766</v>
      </c>
      <c r="AH12" s="9">
        <v>120.38181863845901</v>
      </c>
      <c r="AI12" s="9">
        <v>113.59022710711179</v>
      </c>
      <c r="AJ12" s="9">
        <v>106.79582105833754</v>
      </c>
      <c r="AK12" s="9">
        <f t="shared" si="3"/>
        <v>100</v>
      </c>
      <c r="AL12" s="21">
        <f t="shared" si="4"/>
        <v>7.0000000000000007E-2</v>
      </c>
      <c r="AM12" s="20">
        <v>22</v>
      </c>
    </row>
    <row r="13" spans="1:39" x14ac:dyDescent="0.25">
      <c r="A13" s="40" t="s">
        <v>32</v>
      </c>
      <c r="B13" s="40">
        <v>46</v>
      </c>
      <c r="E13" s="20">
        <v>21</v>
      </c>
      <c r="F13" s="21">
        <f t="shared" si="1"/>
        <v>6.6666666666666666E-2</v>
      </c>
      <c r="G13" s="9">
        <f t="shared" si="2"/>
        <v>300</v>
      </c>
      <c r="H13" s="9">
        <v>293.46245459064346</v>
      </c>
      <c r="I13" s="9">
        <v>286.92349446892479</v>
      </c>
      <c r="J13" s="9">
        <v>280.38172042380211</v>
      </c>
      <c r="K13" s="9">
        <v>273.83576407697575</v>
      </c>
      <c r="L13" s="9">
        <v>267.28430287637701</v>
      </c>
      <c r="M13" s="9">
        <v>260.72607458739822</v>
      </c>
      <c r="N13" s="9">
        <v>254.15989112304777</v>
      </c>
      <c r="O13" s="9">
        <v>247.58465156146673</v>
      </c>
      <c r="P13" s="9">
        <v>240.99935420815973</v>
      </c>
      <c r="Q13" s="9">
        <v>234.40310757076867</v>
      </c>
      <c r="R13" s="9">
        <v>227.79514012614999</v>
      </c>
      <c r="S13" s="9">
        <v>221.17480877275651</v>
      </c>
      <c r="T13" s="9">
        <v>214.54160587574404</v>
      </c>
      <c r="U13" s="9">
        <v>207.8951648276522</v>
      </c>
      <c r="V13" s="9">
        <v>201.23526406378244</v>
      </c>
      <c r="W13" s="9">
        <v>194.56182948833435</v>
      </c>
      <c r="X13" s="9">
        <v>187.87493528477958</v>
      </c>
      <c r="Y13" s="9">
        <v>181.17480310165598</v>
      </c>
      <c r="Z13" s="9">
        <v>174.46179962276773</v>
      </c>
      <c r="AA13" s="9">
        <v>167.73643254847016</v>
      </c>
      <c r="AB13" s="9">
        <v>160.9993450321262</v>
      </c>
      <c r="AC13" s="9">
        <v>154.25130863273489</v>
      </c>
      <c r="AD13" s="9">
        <v>147.49321486098245</v>
      </c>
      <c r="AE13" s="9">
        <v>140.72606541136452</v>
      </c>
      <c r="AF13" s="9">
        <v>133.95096118741159</v>
      </c>
      <c r="AG13" s="9">
        <v>127.16909024025989</v>
      </c>
      <c r="AH13" s="9">
        <v>120.38171475270133</v>
      </c>
      <c r="AI13" s="9">
        <v>113.59015721129336</v>
      </c>
      <c r="AJ13" s="9">
        <v>106.79578591799213</v>
      </c>
      <c r="AK13" s="9">
        <f t="shared" si="3"/>
        <v>100</v>
      </c>
      <c r="AL13" s="21">
        <f t="shared" si="4"/>
        <v>6.6666666666666666E-2</v>
      </c>
      <c r="AM13" s="20">
        <v>21</v>
      </c>
    </row>
    <row r="14" spans="1:39" x14ac:dyDescent="0.25">
      <c r="A14" s="41"/>
      <c r="B14" s="41"/>
      <c r="E14" s="20">
        <v>20</v>
      </c>
      <c r="F14" s="21">
        <f t="shared" si="1"/>
        <v>6.3333333333333339E-2</v>
      </c>
      <c r="G14" s="9">
        <v>300</v>
      </c>
      <c r="H14" s="9">
        <v>293.46241707181042</v>
      </c>
      <c r="I14" s="9">
        <v>286.92341984246451</v>
      </c>
      <c r="J14" s="9">
        <v>280.38160950761471</v>
      </c>
      <c r="K14" s="9">
        <v>273.8356180866823</v>
      </c>
      <c r="L14" s="9">
        <v>267.28412341198378</v>
      </c>
      <c r="M14" s="9">
        <v>260.72586361574434</v>
      </c>
      <c r="N14" s="9">
        <v>254.15965095623042</v>
      </c>
      <c r="O14" s="9">
        <v>247.58438483148097</v>
      </c>
      <c r="P14" s="9">
        <v>240.99906383803227</v>
      </c>
      <c r="Q14" s="9">
        <v>234.40279674250294</v>
      </c>
      <c r="R14" s="9">
        <v>227.79481224583523</v>
      </c>
      <c r="S14" s="9">
        <v>221.17446743322404</v>
      </c>
      <c r="T14" s="9">
        <v>214.54125481718145</v>
      </c>
      <c r="U14" s="9">
        <v>207.89480789660752</v>
      </c>
      <c r="V14" s="9">
        <v>201.23490517100845</v>
      </c>
      <c r="W14" s="9">
        <v>194.56147256593539</v>
      </c>
      <c r="X14" s="9">
        <v>187.87458424313056</v>
      </c>
      <c r="Y14" s="9">
        <v>181.1744617865657</v>
      </c>
      <c r="Z14" s="9">
        <v>174.46147177335553</v>
      </c>
      <c r="AA14" s="9">
        <v>167.73612175621685</v>
      </c>
      <c r="AB14" s="9">
        <v>160.99905470154701</v>
      </c>
      <c r="AC14" s="9">
        <v>154.25104194410483</v>
      </c>
      <c r="AD14" s="9">
        <v>147.49297473552079</v>
      </c>
      <c r="AE14" s="9">
        <v>140.72585447925891</v>
      </c>
      <c r="AF14" s="9">
        <v>133.95078175903075</v>
      </c>
      <c r="AG14" s="9">
        <v>127.16894428086904</v>
      </c>
      <c r="AH14" s="9">
        <v>120.38160386095609</v>
      </c>
      <c r="AI14" s="9">
        <v>113.59008260174664</v>
      </c>
      <c r="AJ14" s="9">
        <v>106.79574840780484</v>
      </c>
      <c r="AK14" s="9">
        <f t="shared" si="3"/>
        <v>100</v>
      </c>
      <c r="AL14" s="21">
        <f t="shared" si="4"/>
        <v>6.3333333333333339E-2</v>
      </c>
      <c r="AM14" s="20">
        <v>20</v>
      </c>
    </row>
    <row r="15" spans="1:39" x14ac:dyDescent="0.25">
      <c r="A15" s="42" t="s">
        <v>28</v>
      </c>
      <c r="B15" s="42"/>
      <c r="E15" s="20">
        <v>19</v>
      </c>
      <c r="F15" s="21">
        <f t="shared" si="1"/>
        <v>6.0000000000000005E-2</v>
      </c>
      <c r="G15" s="9">
        <v>300</v>
      </c>
      <c r="H15" s="9">
        <v>293.4623776224953</v>
      </c>
      <c r="I15" s="9">
        <v>286.92334137619798</v>
      </c>
      <c r="J15" s="9">
        <v>280.3814928843808</v>
      </c>
      <c r="K15" s="9">
        <v>273.83546458465048</v>
      </c>
      <c r="L15" s="9">
        <v>267.28393471348636</v>
      </c>
      <c r="M15" s="9">
        <v>260.72564178882163</v>
      </c>
      <c r="N15" s="9">
        <v>254.15939843194545</v>
      </c>
      <c r="O15" s="9">
        <v>247.58410437725473</v>
      </c>
      <c r="P15" s="9">
        <v>240.9987585272919</v>
      </c>
      <c r="Q15" s="9">
        <v>234.40246992097769</v>
      </c>
      <c r="R15" s="9">
        <v>227.7944674948701</v>
      </c>
      <c r="S15" s="9">
        <v>221.17410853051484</v>
      </c>
      <c r="T15" s="9">
        <v>214.54088569536219</v>
      </c>
      <c r="U15" s="9">
        <v>207.89443260014522</v>
      </c>
      <c r="V15" s="9">
        <v>201.23452781187859</v>
      </c>
      <c r="W15" s="9">
        <v>194.56109727856352</v>
      </c>
      <c r="X15" s="9">
        <v>187.87421513909484</v>
      </c>
      <c r="Y15" s="9">
        <v>181.17410290955604</v>
      </c>
      <c r="Z15" s="9">
        <v>174.46112705488264</v>
      </c>
      <c r="AA15" s="9">
        <v>167.73579497255645</v>
      </c>
      <c r="AB15" s="9">
        <v>160.9987494323893</v>
      </c>
      <c r="AC15" s="9">
        <v>154.25076153336167</v>
      </c>
      <c r="AD15" s="9">
        <v>147.49272225471896</v>
      </c>
      <c r="AE15" s="9">
        <v>140.7256326939189</v>
      </c>
      <c r="AF15" s="9">
        <v>133.95059309839826</v>
      </c>
      <c r="AG15" s="9">
        <v>127.16879081132944</v>
      </c>
      <c r="AH15" s="9">
        <v>120.38148726342172</v>
      </c>
      <c r="AI15" s="9">
        <v>113.59000415326371</v>
      </c>
      <c r="AJ15" s="9">
        <v>106.79570896758011</v>
      </c>
      <c r="AK15" s="9">
        <f t="shared" si="3"/>
        <v>100</v>
      </c>
      <c r="AL15" s="21">
        <f t="shared" si="4"/>
        <v>6.0000000000000005E-2</v>
      </c>
      <c r="AM15" s="20">
        <v>19</v>
      </c>
    </row>
    <row r="16" spans="1:39" x14ac:dyDescent="0.25">
      <c r="A16" s="43" t="s">
        <v>33</v>
      </c>
      <c r="B16" s="43">
        <v>300</v>
      </c>
      <c r="E16" s="20">
        <v>18</v>
      </c>
      <c r="F16" s="21">
        <f t="shared" si="1"/>
        <v>5.6666666666666671E-2</v>
      </c>
      <c r="G16" s="9">
        <v>300</v>
      </c>
      <c r="H16" s="9">
        <v>293.46233670523156</v>
      </c>
      <c r="I16" s="9">
        <v>286.92325999012309</v>
      </c>
      <c r="J16" s="9">
        <v>280.38137192147957</v>
      </c>
      <c r="K16" s="9">
        <v>273.83530537065423</v>
      </c>
      <c r="L16" s="9">
        <v>267.28373899332877</v>
      </c>
      <c r="M16" s="9">
        <v>260.72541170749685</v>
      </c>
      <c r="N16" s="9">
        <v>254.15913651097878</v>
      </c>
      <c r="O16" s="9">
        <v>247.58381348704552</v>
      </c>
      <c r="P16" s="9">
        <v>240.99844185563273</v>
      </c>
      <c r="Q16" s="9">
        <v>234.40213093809575</v>
      </c>
      <c r="R16" s="9">
        <v>227.79410991537583</v>
      </c>
      <c r="S16" s="9">
        <v>221.17373627267585</v>
      </c>
      <c r="T16" s="9">
        <v>214.54050283814971</v>
      </c>
      <c r="U16" s="9">
        <v>207.89404333852502</v>
      </c>
      <c r="V16" s="9">
        <v>201.23413641083684</v>
      </c>
      <c r="W16" s="9">
        <v>194.56070802637194</v>
      </c>
      <c r="X16" s="9">
        <v>187.87383230032748</v>
      </c>
      <c r="Y16" s="9">
        <v>181.17373067837252</v>
      </c>
      <c r="Z16" s="9">
        <v>174.46076950908929</v>
      </c>
      <c r="AA16" s="9">
        <v>167.73545602894794</v>
      </c>
      <c r="AB16" s="9">
        <v>160.99843280385966</v>
      </c>
      <c r="AC16" s="9">
        <v>154.25047068825313</v>
      </c>
      <c r="AD16" s="9">
        <v>147.49246037885288</v>
      </c>
      <c r="AE16" s="9">
        <v>140.72540265572357</v>
      </c>
      <c r="AF16" s="9">
        <v>133.95039741751413</v>
      </c>
      <c r="AG16" s="9">
        <v>127.16863163103407</v>
      </c>
      <c r="AH16" s="9">
        <v>120.38136632717595</v>
      </c>
      <c r="AI16" s="9">
        <v>113.5899227856339</v>
      </c>
      <c r="AJ16" s="9">
        <v>106.795668059745</v>
      </c>
      <c r="AK16" s="9">
        <f t="shared" si="3"/>
        <v>100</v>
      </c>
      <c r="AL16" s="21">
        <f t="shared" si="4"/>
        <v>5.6666666666666671E-2</v>
      </c>
      <c r="AM16" s="20">
        <v>18</v>
      </c>
    </row>
    <row r="17" spans="1:39" x14ac:dyDescent="0.25">
      <c r="A17" s="43" t="s">
        <v>34</v>
      </c>
      <c r="B17" s="43">
        <v>100</v>
      </c>
      <c r="E17" s="20">
        <v>17</v>
      </c>
      <c r="F17" s="21">
        <f t="shared" si="1"/>
        <v>5.3333333333333337E-2</v>
      </c>
      <c r="G17" s="9">
        <v>300</v>
      </c>
      <c r="H17" s="9">
        <v>293.46229479975665</v>
      </c>
      <c r="I17" s="9">
        <v>286.92317663845654</v>
      </c>
      <c r="J17" s="9">
        <v>280.38124803714896</v>
      </c>
      <c r="K17" s="9">
        <v>273.83514231140924</v>
      </c>
      <c r="L17" s="9">
        <v>267.28353854624578</v>
      </c>
      <c r="M17" s="9">
        <v>260.72517606937464</v>
      </c>
      <c r="N17" s="9">
        <v>254.15886826424116</v>
      </c>
      <c r="O17" s="9">
        <v>247.58351557141623</v>
      </c>
      <c r="P17" s="9">
        <v>240.99811753589407</v>
      </c>
      <c r="Q17" s="9">
        <v>234.4017837682859</v>
      </c>
      <c r="R17" s="9">
        <v>227.79374369981849</v>
      </c>
      <c r="S17" s="9">
        <v>221.17335502427045</v>
      </c>
      <c r="T17" s="9">
        <v>214.54011073438051</v>
      </c>
      <c r="U17" s="9">
        <v>207.89364467567233</v>
      </c>
      <c r="V17" s="9">
        <v>201.23373555689238</v>
      </c>
      <c r="W17" s="9">
        <v>194.56030937317541</v>
      </c>
      <c r="X17" s="9">
        <v>187.87344021544865</v>
      </c>
      <c r="Y17" s="9">
        <v>181.17334945726603</v>
      </c>
      <c r="Z17" s="9">
        <v>174.46040332804637</v>
      </c>
      <c r="AA17" s="9">
        <v>167.73510889935955</v>
      </c>
      <c r="AB17" s="9">
        <v>160.99810852829162</v>
      </c>
      <c r="AC17" s="9">
        <v>154.25017281881318</v>
      </c>
      <c r="AD17" s="9">
        <v>147.49219217830461</v>
      </c>
      <c r="AE17" s="9">
        <v>140.725167061772</v>
      </c>
      <c r="AF17" s="9">
        <v>133.95019701065263</v>
      </c>
      <c r="AG17" s="9">
        <v>127.16846860630355</v>
      </c>
      <c r="AH17" s="9">
        <v>120.38124247014431</v>
      </c>
      <c r="AI17" s="9">
        <v>113.58983945285772</v>
      </c>
      <c r="AJ17" s="9">
        <v>106.79562616392627</v>
      </c>
      <c r="AK17" s="9">
        <f t="shared" si="3"/>
        <v>100</v>
      </c>
      <c r="AL17" s="21">
        <f t="shared" si="4"/>
        <v>5.3333333333333337E-2</v>
      </c>
      <c r="AM17" s="20">
        <v>17</v>
      </c>
    </row>
    <row r="18" spans="1:39" x14ac:dyDescent="0.25">
      <c r="A18" s="41"/>
      <c r="B18" s="41"/>
      <c r="E18" s="20">
        <v>16</v>
      </c>
      <c r="F18" s="21">
        <f t="shared" si="1"/>
        <v>0.05</v>
      </c>
      <c r="G18" s="9">
        <v>300</v>
      </c>
      <c r="H18" s="9">
        <v>293.46225239738618</v>
      </c>
      <c r="I18" s="9">
        <v>286.92309229844483</v>
      </c>
      <c r="J18" s="9">
        <v>280.38112268385589</v>
      </c>
      <c r="K18" s="9">
        <v>273.83497731868397</v>
      </c>
      <c r="L18" s="9">
        <v>267.28333572235505</v>
      </c>
      <c r="M18" s="9">
        <v>260.72493763716574</v>
      </c>
      <c r="N18" s="9">
        <v>254.15859683675919</v>
      </c>
      <c r="O18" s="9">
        <v>247.58321412324267</v>
      </c>
      <c r="P18" s="9">
        <v>240.99778937052349</v>
      </c>
      <c r="Q18" s="9">
        <v>234.40143248189861</v>
      </c>
      <c r="R18" s="9">
        <v>227.79337314184806</v>
      </c>
      <c r="S18" s="9">
        <v>221.1729692551994</v>
      </c>
      <c r="T18" s="9">
        <v>214.53971398122781</v>
      </c>
      <c r="U18" s="9">
        <v>207.8932412856615</v>
      </c>
      <c r="V18" s="9">
        <v>201.23332994980882</v>
      </c>
      <c r="W18" s="9">
        <v>194.55990599293517</v>
      </c>
      <c r="X18" s="9">
        <v>187.87304348141009</v>
      </c>
      <c r="Y18" s="9">
        <v>181.1729637158173</v>
      </c>
      <c r="Z18" s="9">
        <v>174.46003280499917</v>
      </c>
      <c r="AA18" s="9">
        <v>167.73475765367016</v>
      </c>
      <c r="AB18" s="9">
        <v>160.99778040761487</v>
      </c>
      <c r="AC18" s="9">
        <v>154.24987141737606</v>
      </c>
      <c r="AD18" s="9">
        <v>147.49192079755903</v>
      </c>
      <c r="AE18" s="9">
        <v>140.72492867425694</v>
      </c>
      <c r="AF18" s="9">
        <v>133.94999422745977</v>
      </c>
      <c r="AG18" s="9">
        <v>127.16830364850158</v>
      </c>
      <c r="AH18" s="9">
        <v>120.38111714447361</v>
      </c>
      <c r="AI18" s="9">
        <v>113.58975513196023</v>
      </c>
      <c r="AJ18" s="9">
        <v>106.79558377132642</v>
      </c>
      <c r="AK18" s="9">
        <f t="shared" si="3"/>
        <v>100</v>
      </c>
      <c r="AL18" s="21">
        <f t="shared" si="4"/>
        <v>0.05</v>
      </c>
      <c r="AM18" s="20">
        <v>16</v>
      </c>
    </row>
    <row r="19" spans="1:39" x14ac:dyDescent="0.25">
      <c r="A19" s="44" t="s">
        <v>29</v>
      </c>
      <c r="B19" s="44"/>
      <c r="E19" s="20">
        <v>15</v>
      </c>
      <c r="F19" s="21">
        <f t="shared" si="1"/>
        <v>4.6666666666666669E-2</v>
      </c>
      <c r="G19" s="9">
        <f t="shared" si="2"/>
        <v>300</v>
      </c>
      <c r="H19" s="9">
        <v>293.46220999525343</v>
      </c>
      <c r="I19" s="9">
        <v>286.92300795890594</v>
      </c>
      <c r="J19" s="9">
        <v>280.38099733126552</v>
      </c>
      <c r="K19" s="9">
        <v>273.83481232688359</v>
      </c>
      <c r="L19" s="9">
        <v>267.28313289960113</v>
      </c>
      <c r="M19" s="9">
        <v>260.72469920629322</v>
      </c>
      <c r="N19" s="9">
        <v>254.15832541079845</v>
      </c>
      <c r="O19" s="9">
        <v>247.58291267675867</v>
      </c>
      <c r="P19" s="9">
        <v>240.99746120699217</v>
      </c>
      <c r="Q19" s="9">
        <v>234.4010811974801</v>
      </c>
      <c r="R19" s="9">
        <v>227.79300258595441</v>
      </c>
      <c r="S19" s="9">
        <v>221.17258348829029</v>
      </c>
      <c r="T19" s="9">
        <v>214.53931723029859</v>
      </c>
      <c r="U19" s="9">
        <v>207.89283789791128</v>
      </c>
      <c r="V19" s="9">
        <v>201.23292434499817</v>
      </c>
      <c r="W19" s="9">
        <v>194.55950261495536</v>
      </c>
      <c r="X19" s="9">
        <v>187.87264674959462</v>
      </c>
      <c r="Y19" s="9">
        <v>181.17257797653002</v>
      </c>
      <c r="Z19" s="9">
        <v>174.45966228402818</v>
      </c>
      <c r="AA19" s="9">
        <v>167.73440640994886</v>
      </c>
      <c r="AB19" s="9">
        <v>160.9974522887766</v>
      </c>
      <c r="AC19" s="9">
        <v>154.24957001762766</v>
      </c>
      <c r="AD19" s="9">
        <v>147.49164941833396</v>
      </c>
      <c r="AE19" s="9">
        <v>140.72469028807751</v>
      </c>
      <c r="AF19" s="9">
        <v>133.94979144540304</v>
      </c>
      <c r="AG19" s="9">
        <v>127.16813869162381</v>
      </c>
      <c r="AH19" s="9">
        <v>120.38099181950503</v>
      </c>
      <c r="AI19" s="9">
        <v>113.58967081153516</v>
      </c>
      <c r="AJ19" s="9">
        <v>106.79554137896409</v>
      </c>
      <c r="AK19" s="9">
        <f t="shared" si="3"/>
        <v>100</v>
      </c>
      <c r="AL19" s="21">
        <f t="shared" si="4"/>
        <v>4.6666666666666669E-2</v>
      </c>
      <c r="AM19" s="20">
        <v>15</v>
      </c>
    </row>
    <row r="20" spans="1:39" x14ac:dyDescent="0.25">
      <c r="A20" s="45" t="s">
        <v>17</v>
      </c>
      <c r="B20" s="46">
        <f>B13/(B5^2)</f>
        <v>4139999.9999999991</v>
      </c>
      <c r="E20" s="20">
        <v>14</v>
      </c>
      <c r="F20" s="21">
        <f t="shared" si="1"/>
        <v>4.3333333333333335E-2</v>
      </c>
      <c r="G20" s="9">
        <f t="shared" si="2"/>
        <v>300</v>
      </c>
      <c r="H20" s="9">
        <v>293.46216809048042</v>
      </c>
      <c r="I20" s="9">
        <v>286.92292460863553</v>
      </c>
      <c r="J20" s="9">
        <v>280.38087344900993</v>
      </c>
      <c r="K20" s="9">
        <v>273.83464927036977</v>
      </c>
      <c r="L20" s="9">
        <v>267.28293245587548</v>
      </c>
      <c r="M20" s="9">
        <v>260.72446357211771</v>
      </c>
      <c r="N20" s="9">
        <v>254.15805716855363</v>
      </c>
      <c r="O20" s="9">
        <v>247.58261476611898</v>
      </c>
      <c r="P20" s="9">
        <v>240.99713689268521</v>
      </c>
      <c r="Q20" s="9">
        <v>234.40073403348447</v>
      </c>
      <c r="R20" s="9">
        <v>227.79263637653008</v>
      </c>
      <c r="S20" s="9">
        <v>221.17220224626948</v>
      </c>
      <c r="T20" s="9">
        <v>214.53892513309569</v>
      </c>
      <c r="U20" s="9">
        <v>207.89243924173454</v>
      </c>
      <c r="V20" s="9">
        <v>201.23252349776621</v>
      </c>
      <c r="W20" s="9">
        <v>194.55910396843433</v>
      </c>
      <c r="X20" s="9">
        <v>187.8722546712811</v>
      </c>
      <c r="Y20" s="9">
        <v>181.17219676180679</v>
      </c>
      <c r="Z20" s="9">
        <v>174.45929610911651</v>
      </c>
      <c r="AA20" s="9">
        <v>167.73405928617262</v>
      </c>
      <c r="AB20" s="9">
        <v>160.99712801863791</v>
      </c>
      <c r="AC20" s="9">
        <v>154.24927215317484</v>
      </c>
      <c r="AD20" s="9">
        <v>147.49138122227598</v>
      </c>
      <c r="AE20" s="9">
        <v>140.72445469807025</v>
      </c>
      <c r="AF20" s="9">
        <v>133.9495910418967</v>
      </c>
      <c r="AG20" s="9">
        <v>127.16797566962258</v>
      </c>
      <c r="AH20" s="9">
        <v>120.38086796454695</v>
      </c>
      <c r="AI20" s="9">
        <v>113.58958748015408</v>
      </c>
      <c r="AJ20" s="9">
        <v>106.79549948384677</v>
      </c>
      <c r="AK20" s="9">
        <f t="shared" si="3"/>
        <v>100</v>
      </c>
      <c r="AL20" s="21">
        <f t="shared" si="4"/>
        <v>4.3333333333333335E-2</v>
      </c>
      <c r="AM20" s="20">
        <v>14</v>
      </c>
    </row>
    <row r="21" spans="1:39" x14ac:dyDescent="0.25">
      <c r="A21" s="45" t="s">
        <v>18</v>
      </c>
      <c r="B21" s="46">
        <f>(2*B13)/(B5^2)+(B12*B11)/B8</f>
        <v>11867999.999999998</v>
      </c>
      <c r="E21" s="20">
        <v>13</v>
      </c>
      <c r="F21" s="21">
        <f t="shared" si="1"/>
        <v>0.04</v>
      </c>
      <c r="G21" s="9">
        <f t="shared" si="2"/>
        <v>300</v>
      </c>
      <c r="H21" s="9">
        <v>293.46212717435003</v>
      </c>
      <c r="I21" s="9">
        <v>286.92284322481476</v>
      </c>
      <c r="J21" s="9">
        <v>280.38075248945904</v>
      </c>
      <c r="K21" s="9">
        <v>273.8344900607832</v>
      </c>
      <c r="L21" s="9">
        <v>267.28273674113871</v>
      </c>
      <c r="M21" s="9">
        <v>260.7242334971653</v>
      </c>
      <c r="N21" s="9">
        <v>254.15779525484101</v>
      </c>
      <c r="O21" s="9">
        <v>247.58232388396613</v>
      </c>
      <c r="P21" s="9">
        <v>240.99682022979613</v>
      </c>
      <c r="Q21" s="9">
        <v>234.40039505999033</v>
      </c>
      <c r="R21" s="9">
        <v>227.79227880693844</v>
      </c>
      <c r="S21" s="9">
        <v>221.17182999873933</v>
      </c>
      <c r="T21" s="9">
        <v>214.53854228648527</v>
      </c>
      <c r="U21" s="9">
        <v>207.8920499908935</v>
      </c>
      <c r="V21" s="9">
        <v>201.23213210756256</v>
      </c>
      <c r="W21" s="9">
        <v>194.55871472702108</v>
      </c>
      <c r="X21" s="9">
        <v>187.87187184311423</v>
      </c>
      <c r="Y21" s="9">
        <v>181.1718245409298</v>
      </c>
      <c r="Z21" s="9">
        <v>174.45893857322278</v>
      </c>
      <c r="AA21" s="9">
        <v>167.73372035194848</v>
      </c>
      <c r="AB21" s="9">
        <v>160.99681139887463</v>
      </c>
      <c r="AC21" s="9">
        <v>154.2489813161186</v>
      </c>
      <c r="AD21" s="9">
        <v>147.49111935366003</v>
      </c>
      <c r="AE21" s="9">
        <v>140.72422466624352</v>
      </c>
      <c r="AF21" s="9">
        <v>133.94939536642988</v>
      </c>
      <c r="AG21" s="9">
        <v>127.16781649373399</v>
      </c>
      <c r="AH21" s="9">
        <v>120.38074703164918</v>
      </c>
      <c r="AI21" s="9">
        <v>113.58950611477681</v>
      </c>
      <c r="AJ21" s="9">
        <v>106.79545857714413</v>
      </c>
      <c r="AK21" s="9">
        <f t="shared" si="3"/>
        <v>100</v>
      </c>
      <c r="AL21" s="21">
        <f t="shared" si="4"/>
        <v>0.04</v>
      </c>
      <c r="AM21" s="20">
        <v>13</v>
      </c>
    </row>
    <row r="22" spans="1:39" x14ac:dyDescent="0.25">
      <c r="A22" s="45" t="s">
        <v>19</v>
      </c>
      <c r="B22" s="46">
        <f>B20</f>
        <v>4139999.9999999991</v>
      </c>
      <c r="E22" s="20">
        <v>12</v>
      </c>
      <c r="F22" s="21">
        <f t="shared" si="1"/>
        <v>3.6666666666666667E-2</v>
      </c>
      <c r="G22" s="9">
        <f t="shared" si="2"/>
        <v>300</v>
      </c>
      <c r="H22" s="9">
        <v>293.46208772654654</v>
      </c>
      <c r="I22" s="9">
        <v>286.92276476155507</v>
      </c>
      <c r="J22" s="9">
        <v>280.38063587069416</v>
      </c>
      <c r="K22" s="9">
        <v>273.83433656463353</v>
      </c>
      <c r="L22" s="9">
        <v>267.2825480498721</v>
      </c>
      <c r="M22" s="9">
        <v>260.72401167874278</v>
      </c>
      <c r="N22" s="9">
        <v>254.15754274023232</v>
      </c>
      <c r="O22" s="9">
        <v>247.58204344048616</v>
      </c>
      <c r="P22" s="9">
        <v>240.99651493075424</v>
      </c>
      <c r="Q22" s="9">
        <v>234.40006825098754</v>
      </c>
      <c r="R22" s="9">
        <v>227.79193406918245</v>
      </c>
      <c r="S22" s="9">
        <v>221.17147110978115</v>
      </c>
      <c r="T22" s="9">
        <v>214.53817317880817</v>
      </c>
      <c r="U22" s="9">
        <v>207.89167470880963</v>
      </c>
      <c r="V22" s="9">
        <v>201.23175476288975</v>
      </c>
      <c r="W22" s="9">
        <v>194.55833945402654</v>
      </c>
      <c r="X22" s="9">
        <v>187.87150275321858</v>
      </c>
      <c r="Y22" s="9">
        <v>181.17146567766801</v>
      </c>
      <c r="Z22" s="9">
        <v>174.45859386795513</v>
      </c>
      <c r="AA22" s="9">
        <v>167.73339358080597</v>
      </c>
      <c r="AB22" s="9">
        <v>160.99650614141038</v>
      </c>
      <c r="AC22" s="9">
        <v>154.24870091611643</v>
      </c>
      <c r="AD22" s="9">
        <v>147.49086688252919</v>
      </c>
      <c r="AE22" s="9">
        <v>140.72400288939861</v>
      </c>
      <c r="AF22" s="9">
        <v>133.94920671302359</v>
      </c>
      <c r="AG22" s="9">
        <v>127.16766303007263</v>
      </c>
      <c r="AH22" s="9">
        <v>120.38063043858071</v>
      </c>
      <c r="AI22" s="9">
        <v>113.58942766929856</v>
      </c>
      <c r="AJ22" s="9">
        <v>106.79541913843003</v>
      </c>
      <c r="AK22" s="9">
        <f t="shared" si="3"/>
        <v>100</v>
      </c>
      <c r="AL22" s="21">
        <f t="shared" si="4"/>
        <v>3.6666666666666667E-2</v>
      </c>
      <c r="AM22" s="20">
        <v>12</v>
      </c>
    </row>
    <row r="23" spans="1:39" x14ac:dyDescent="0.25">
      <c r="A23" s="41"/>
      <c r="B23" s="41"/>
      <c r="E23" s="20">
        <v>11</v>
      </c>
      <c r="F23" s="21">
        <f t="shared" si="1"/>
        <v>3.3333333333333333E-2</v>
      </c>
      <c r="G23" s="9">
        <f t="shared" si="2"/>
        <v>300</v>
      </c>
      <c r="H23" s="9">
        <v>293.462050209533</v>
      </c>
      <c r="I23" s="9">
        <v>286.92269013871379</v>
      </c>
      <c r="J23" s="9">
        <v>280.38052495988552</v>
      </c>
      <c r="K23" s="9">
        <v>273.8341905814197</v>
      </c>
      <c r="L23" s="9">
        <v>267.28236859418166</v>
      </c>
      <c r="M23" s="9">
        <v>260.72380071731936</v>
      </c>
      <c r="N23" s="9">
        <v>254.15730258506102</v>
      </c>
      <c r="O23" s="9">
        <v>247.58177672343427</v>
      </c>
      <c r="P23" s="9">
        <v>240.9962245747067</v>
      </c>
      <c r="Q23" s="9">
        <v>234.39975743779343</v>
      </c>
      <c r="R23" s="9">
        <v>227.79160620476574</v>
      </c>
      <c r="S23" s="9">
        <v>221.17112978679896</v>
      </c>
      <c r="T23" s="9">
        <v>214.53782213726663</v>
      </c>
      <c r="U23" s="9">
        <v>207.89131779507028</v>
      </c>
      <c r="V23" s="9">
        <v>201.2313958875157</v>
      </c>
      <c r="W23" s="9">
        <v>194.55798254893156</v>
      </c>
      <c r="X23" s="9">
        <v>187.87115172858799</v>
      </c>
      <c r="Y23" s="9">
        <v>181.17112437912419</v>
      </c>
      <c r="Z23" s="9">
        <v>174.45826603443621</v>
      </c>
      <c r="AA23" s="9">
        <v>167.73308280361866</v>
      </c>
      <c r="AB23" s="9">
        <v>160.99621582490499</v>
      </c>
      <c r="AC23" s="9">
        <v>154.2484342404139</v>
      </c>
      <c r="AD23" s="9">
        <v>147.49062676870722</v>
      </c>
      <c r="AE23" s="9">
        <v>140.72379196751743</v>
      </c>
      <c r="AF23" s="9">
        <v>133.94902729333995</v>
      </c>
      <c r="AG23" s="9">
        <v>127.1675170777566</v>
      </c>
      <c r="AH23" s="9">
        <v>120.38051955221044</v>
      </c>
      <c r="AI23" s="9">
        <v>113.58935306336821</v>
      </c>
      <c r="AJ23" s="9">
        <v>106.79538163006086</v>
      </c>
      <c r="AK23" s="9">
        <f t="shared" si="3"/>
        <v>100</v>
      </c>
      <c r="AL23" s="21">
        <f t="shared" si="4"/>
        <v>3.3333333333333333E-2</v>
      </c>
      <c r="AM23" s="20">
        <v>11</v>
      </c>
    </row>
    <row r="24" spans="1:39" x14ac:dyDescent="0.25">
      <c r="A24" s="51" t="s">
        <v>30</v>
      </c>
      <c r="B24" s="51"/>
      <c r="E24" s="20">
        <v>10</v>
      </c>
      <c r="F24" s="21">
        <f t="shared" si="1"/>
        <v>3.0000000000000002E-2</v>
      </c>
      <c r="G24" s="9">
        <f t="shared" si="2"/>
        <v>300</v>
      </c>
      <c r="H24" s="9">
        <v>293.4620150631302</v>
      </c>
      <c r="I24" s="9">
        <v>286.92262023111209</v>
      </c>
      <c r="J24" s="9">
        <v>280.38042105726663</v>
      </c>
      <c r="K24" s="9">
        <v>273.83405382253744</v>
      </c>
      <c r="L24" s="9">
        <v>267.28220047786886</v>
      </c>
      <c r="M24" s="9">
        <v>260.72360308604584</v>
      </c>
      <c r="N24" s="9">
        <v>254.15707760472287</v>
      </c>
      <c r="O24" s="9">
        <v>247.58152685959749</v>
      </c>
      <c r="P24" s="9">
        <v>240.99595256556609</v>
      </c>
      <c r="Q24" s="9">
        <v>234.39946626414454</v>
      </c>
      <c r="R24" s="9">
        <v>227.79129905732037</v>
      </c>
      <c r="S24" s="9">
        <v>221.17081003120273</v>
      </c>
      <c r="T24" s="9">
        <v>214.53749327720368</v>
      </c>
      <c r="U24" s="9">
        <v>207.89098343385965</v>
      </c>
      <c r="V24" s="9">
        <v>201.23105968862137</v>
      </c>
      <c r="W24" s="9">
        <v>194.55764819581896</v>
      </c>
      <c r="X24" s="9">
        <v>187.87082288436719</v>
      </c>
      <c r="Y24" s="9">
        <v>181.17080464642191</v>
      </c>
      <c r="Z24" s="9">
        <v>174.45795891593596</v>
      </c>
      <c r="AA24" s="9">
        <v>167.73279166370108</v>
      </c>
      <c r="AB24" s="9">
        <v>160.99594385280756</v>
      </c>
      <c r="AC24" s="9">
        <v>154.24818441531329</v>
      </c>
      <c r="AD24" s="9">
        <v>147.49040182710527</v>
      </c>
      <c r="AE24" s="9">
        <v>140.72359437328709</v>
      </c>
      <c r="AF24" s="9">
        <v>133.94885921075843</v>
      </c>
      <c r="AG24" s="9">
        <v>127.16738034781946</v>
      </c>
      <c r="AH24" s="9">
        <v>120.38041567248558</v>
      </c>
      <c r="AI24" s="9">
        <v>113.58928317160871</v>
      </c>
      <c r="AJ24" s="9">
        <v>106.79534649175611</v>
      </c>
      <c r="AK24" s="9">
        <f t="shared" si="3"/>
        <v>100</v>
      </c>
      <c r="AL24" s="21">
        <f t="shared" si="4"/>
        <v>3.0000000000000002E-2</v>
      </c>
      <c r="AM24" s="20">
        <v>10</v>
      </c>
    </row>
    <row r="25" spans="1:39" x14ac:dyDescent="0.25">
      <c r="A25" s="52" t="s">
        <v>17</v>
      </c>
      <c r="B25" s="52">
        <f>B13/(B6^2)</f>
        <v>4139999.9999999991</v>
      </c>
      <c r="E25" s="20">
        <v>9</v>
      </c>
      <c r="F25" s="21">
        <f t="shared" si="1"/>
        <v>2.6666666666666668E-2</v>
      </c>
      <c r="G25" s="9">
        <f t="shared" si="2"/>
        <v>300</v>
      </c>
      <c r="H25" s="9">
        <v>293.46198269936178</v>
      </c>
      <c r="I25" s="9">
        <v>286.92255585828156</v>
      </c>
      <c r="J25" s="9">
        <v>280.38032538089504</v>
      </c>
      <c r="K25" s="9">
        <v>273.83392789122041</v>
      </c>
      <c r="L25" s="9">
        <v>267.28204567177261</v>
      </c>
      <c r="M25" s="9">
        <v>260.72342110176692</v>
      </c>
      <c r="N25" s="9">
        <v>254.15687043667771</v>
      </c>
      <c r="O25" s="9">
        <v>247.58129677814657</v>
      </c>
      <c r="P25" s="9">
        <v>240.99570209211402</v>
      </c>
      <c r="Q25" s="9">
        <v>234.3991981434894</v>
      </c>
      <c r="R25" s="9">
        <v>227.79101622755675</v>
      </c>
      <c r="S25" s="9">
        <v>221.17051559150912</v>
      </c>
      <c r="T25" s="9">
        <v>214.53719045386816</v>
      </c>
      <c r="U25" s="9">
        <v>207.89067554491692</v>
      </c>
      <c r="V25" s="9">
        <v>201.23075010748926</v>
      </c>
      <c r="W25" s="9">
        <v>194.55734031433309</v>
      </c>
      <c r="X25" s="9">
        <v>187.87052007561948</v>
      </c>
      <c r="Y25" s="9">
        <v>181.17051022780947</v>
      </c>
      <c r="Z25" s="9">
        <v>174.45767611282554</v>
      </c>
      <c r="AA25" s="9">
        <v>167.73252357410627</v>
      </c>
      <c r="AB25" s="9">
        <v>160.99569341346555</v>
      </c>
      <c r="AC25" s="9">
        <v>154.24795436953136</v>
      </c>
      <c r="AD25" s="9">
        <v>147.49019469472907</v>
      </c>
      <c r="AE25" s="9">
        <v>140.72341242311825</v>
      </c>
      <c r="AF25" s="9">
        <v>133.94870443572253</v>
      </c>
      <c r="AG25" s="9">
        <v>127.16725444315561</v>
      </c>
      <c r="AH25" s="9">
        <v>120.3803200171952</v>
      </c>
      <c r="AI25" s="9">
        <v>113.58921881336599</v>
      </c>
      <c r="AJ25" s="9">
        <v>106.79531413544453</v>
      </c>
      <c r="AK25" s="9">
        <f t="shared" si="3"/>
        <v>100</v>
      </c>
      <c r="AL25" s="21">
        <f t="shared" si="4"/>
        <v>2.6666666666666668E-2</v>
      </c>
      <c r="AM25" s="20">
        <v>9</v>
      </c>
    </row>
    <row r="26" spans="1:39" x14ac:dyDescent="0.25">
      <c r="A26" s="52" t="s">
        <v>18</v>
      </c>
      <c r="B26" s="52">
        <f>(2*B13)/(B6^2)+(B12*B11)/B8</f>
        <v>11867999.999999998</v>
      </c>
      <c r="E26" s="20">
        <v>8</v>
      </c>
      <c r="F26" s="21">
        <f t="shared" si="1"/>
        <v>2.3333333333333334E-2</v>
      </c>
      <c r="G26" s="9">
        <f t="shared" si="2"/>
        <v>300</v>
      </c>
      <c r="H26" s="9">
        <v>293.46195349762542</v>
      </c>
      <c r="I26" s="9">
        <v>286.92249777485921</v>
      </c>
      <c r="J26" s="9">
        <v>280.3802390523764</v>
      </c>
      <c r="K26" s="9">
        <v>273.83381426375024</v>
      </c>
      <c r="L26" s="9">
        <v>267.28190599067108</v>
      </c>
      <c r="M26" s="9">
        <v>260.72325689786834</v>
      </c>
      <c r="N26" s="9">
        <v>254.15668350953823</v>
      </c>
      <c r="O26" s="9">
        <v>247.58108917630602</v>
      </c>
      <c r="P26" s="9">
        <v>240.99547609062864</v>
      </c>
      <c r="Q26" s="9">
        <v>234.39895621898273</v>
      </c>
      <c r="R26" s="9">
        <v>227.79076103106317</v>
      </c>
      <c r="S26" s="9">
        <v>221.1702499194086</v>
      </c>
      <c r="T26" s="9">
        <v>214.53691721723132</v>
      </c>
      <c r="U26" s="9">
        <v>207.89039773759706</v>
      </c>
      <c r="V26" s="9">
        <v>201.23047077331165</v>
      </c>
      <c r="W26" s="9">
        <v>194.55706251374147</v>
      </c>
      <c r="X26" s="9">
        <v>187.87024685214504</v>
      </c>
      <c r="Y26" s="9">
        <v>181.1702445747303</v>
      </c>
      <c r="Z26" s="9">
        <v>174.45742094038087</v>
      </c>
      <c r="AA26" s="9">
        <v>167.73228167762505</v>
      </c>
      <c r="AB26" s="9">
        <v>160.9954674427573</v>
      </c>
      <c r="AC26" s="9">
        <v>154.24774679987453</v>
      </c>
      <c r="AD26" s="9">
        <v>147.49000779977328</v>
      </c>
      <c r="AE26" s="9">
        <v>140.72324824999674</v>
      </c>
      <c r="AF26" s="9">
        <v>133.94856478264643</v>
      </c>
      <c r="AG26" s="9">
        <v>127.16714083973437</v>
      </c>
      <c r="AH26" s="9">
        <v>120.38023370769787</v>
      </c>
      <c r="AI26" s="9">
        <v>113.58916074310602</v>
      </c>
      <c r="AJ26" s="9">
        <v>106.79528494043632</v>
      </c>
      <c r="AK26" s="9">
        <f t="shared" si="3"/>
        <v>100</v>
      </c>
      <c r="AL26" s="21">
        <f t="shared" si="4"/>
        <v>2.3333333333333334E-2</v>
      </c>
      <c r="AM26" s="20">
        <v>8</v>
      </c>
    </row>
    <row r="27" spans="1:39" x14ac:dyDescent="0.25">
      <c r="A27" s="52" t="s">
        <v>19</v>
      </c>
      <c r="B27" s="52">
        <f>B25</f>
        <v>4139999.9999999991</v>
      </c>
      <c r="E27" s="20">
        <v>7</v>
      </c>
      <c r="F27" s="21">
        <f t="shared" si="1"/>
        <v>0.02</v>
      </c>
      <c r="G27" s="9">
        <f t="shared" si="2"/>
        <v>300</v>
      </c>
      <c r="H27" s="9">
        <v>293.46192780024614</v>
      </c>
      <c r="I27" s="9">
        <v>286.92244666174355</v>
      </c>
      <c r="J27" s="9">
        <v>280.38016308371994</v>
      </c>
      <c r="K27" s="9">
        <v>273.83371427215553</v>
      </c>
      <c r="L27" s="9">
        <v>267.28178307201352</v>
      </c>
      <c r="M27" s="9">
        <v>260.72311239927427</v>
      </c>
      <c r="N27" s="9">
        <v>254.15651901460799</v>
      </c>
      <c r="O27" s="9">
        <v>247.5809064877443</v>
      </c>
      <c r="P27" s="9">
        <v>240.9952772104732</v>
      </c>
      <c r="Q27" s="9">
        <v>234.39874332664959</v>
      </c>
      <c r="R27" s="9">
        <v>227.79053645944919</v>
      </c>
      <c r="S27" s="9">
        <v>221.17001612931392</v>
      </c>
      <c r="T27" s="9">
        <v>214.5366767703832</v>
      </c>
      <c r="U27" s="9">
        <v>207.89015326857114</v>
      </c>
      <c r="V27" s="9">
        <v>201.23022496065869</v>
      </c>
      <c r="W27" s="9">
        <v>194.55681805063631</v>
      </c>
      <c r="X27" s="9">
        <v>187.87000641687968</v>
      </c>
      <c r="Y27" s="9">
        <v>181.17001080137416</v>
      </c>
      <c r="Z27" s="9">
        <v>174.45719638992966</v>
      </c>
      <c r="AA27" s="9">
        <v>167.732068809954</v>
      </c>
      <c r="AB27" s="9">
        <v>160.99526858968534</v>
      </c>
      <c r="AC27" s="9">
        <v>154.24756413963405</v>
      </c>
      <c r="AD27" s="9">
        <v>147.48984333316434</v>
      </c>
      <c r="AE27" s="9">
        <v>140.72310377848621</v>
      </c>
      <c r="AF27" s="9">
        <v>133.94844188865093</v>
      </c>
      <c r="AG27" s="9">
        <v>127.16704086930241</v>
      </c>
      <c r="AH27" s="9">
        <v>120.3801577557799</v>
      </c>
      <c r="AI27" s="9">
        <v>113.58910964157309</v>
      </c>
      <c r="AJ27" s="9">
        <v>106.79525924897783</v>
      </c>
      <c r="AK27" s="9">
        <f t="shared" si="3"/>
        <v>100</v>
      </c>
      <c r="AL27" s="21">
        <f t="shared" si="4"/>
        <v>0.02</v>
      </c>
      <c r="AM27" s="20">
        <v>7</v>
      </c>
    </row>
    <row r="28" spans="1:39" x14ac:dyDescent="0.25">
      <c r="E28" s="20">
        <v>6</v>
      </c>
      <c r="F28" s="21">
        <f t="shared" si="1"/>
        <v>1.6666666666666666E-2</v>
      </c>
      <c r="G28" s="9">
        <f t="shared" si="2"/>
        <v>300</v>
      </c>
      <c r="H28" s="9">
        <v>293.46190590846527</v>
      </c>
      <c r="I28" s="9">
        <v>286.92240311811526</v>
      </c>
      <c r="J28" s="9">
        <v>280.38009836547894</v>
      </c>
      <c r="K28" s="9">
        <v>273.83362908860192</v>
      </c>
      <c r="L28" s="9">
        <v>267.28167835673133</v>
      </c>
      <c r="M28" s="9">
        <v>260.72298929989012</v>
      </c>
      <c r="N28" s="9">
        <v>254.15637888020225</v>
      </c>
      <c r="O28" s="9">
        <v>247.58075085405389</v>
      </c>
      <c r="P28" s="9">
        <v>240.99510778304847</v>
      </c>
      <c r="Q28" s="9">
        <v>234.39856196215069</v>
      </c>
      <c r="R28" s="9">
        <v>227.79034514528752</v>
      </c>
      <c r="S28" s="9">
        <v>221.16981696186264</v>
      </c>
      <c r="T28" s="9">
        <v>214.53647193199612</v>
      </c>
      <c r="U28" s="9">
        <v>207.88994500366204</v>
      </c>
      <c r="V28" s="9">
        <v>201.23001555110409</v>
      </c>
      <c r="W28" s="9">
        <v>194.55660979077112</v>
      </c>
      <c r="X28" s="9">
        <v>187.86980158835999</v>
      </c>
      <c r="Y28" s="9">
        <v>181.16981164818247</v>
      </c>
      <c r="Z28" s="9">
        <v>174.4570050937966</v>
      </c>
      <c r="AA28" s="9">
        <v>167.73188746646474</v>
      </c>
      <c r="AB28" s="9">
        <v>160.99509918533312</v>
      </c>
      <c r="AC28" s="9">
        <v>154.2474085300706</v>
      </c>
      <c r="AD28" s="9">
        <v>147.48970322288557</v>
      </c>
      <c r="AE28" s="9">
        <v>140.72298070217454</v>
      </c>
      <c r="AF28" s="9">
        <v>133.94833719437844</v>
      </c>
      <c r="AG28" s="9">
        <v>127.16695570377743</v>
      </c>
      <c r="AH28" s="9">
        <v>120.38009305179853</v>
      </c>
      <c r="AI28" s="9">
        <v>113.58906610781219</v>
      </c>
      <c r="AJ28" s="9">
        <v>106.79523736224084</v>
      </c>
      <c r="AK28" s="9">
        <f t="shared" si="3"/>
        <v>100</v>
      </c>
      <c r="AL28" s="21">
        <f t="shared" si="4"/>
        <v>1.6666666666666666E-2</v>
      </c>
      <c r="AM28" s="20">
        <v>6</v>
      </c>
    </row>
    <row r="29" spans="1:39" x14ac:dyDescent="0.25">
      <c r="E29" s="20">
        <v>5</v>
      </c>
      <c r="F29" s="21">
        <f t="shared" si="1"/>
        <v>1.3333333333333334E-2</v>
      </c>
      <c r="G29" s="9">
        <f t="shared" si="2"/>
        <v>300</v>
      </c>
      <c r="H29" s="9">
        <v>293.46188807890979</v>
      </c>
      <c r="I29" s="9">
        <v>286.92236765441601</v>
      </c>
      <c r="J29" s="9">
        <v>280.38004565631513</v>
      </c>
      <c r="K29" s="9">
        <v>273.83355971165639</v>
      </c>
      <c r="L29" s="9">
        <v>267.28159307235285</v>
      </c>
      <c r="M29" s="9">
        <v>260.72288904275229</v>
      </c>
      <c r="N29" s="9">
        <v>254.15626474905099</v>
      </c>
      <c r="O29" s="9">
        <v>247.58062409965578</v>
      </c>
      <c r="P29" s="9">
        <v>240.99496979447292</v>
      </c>
      <c r="Q29" s="9">
        <v>234.3984142515371</v>
      </c>
      <c r="R29" s="9">
        <v>227.79018933126446</v>
      </c>
      <c r="S29" s="9">
        <v>221.1696547518016</v>
      </c>
      <c r="T29" s="9">
        <v>214.53630510329464</v>
      </c>
      <c r="U29" s="9">
        <v>207.88977538426184</v>
      </c>
      <c r="V29" s="9">
        <v>201.22984499945809</v>
      </c>
      <c r="W29" s="9">
        <v>194.55644017547885</v>
      </c>
      <c r="X29" s="9">
        <v>187.86963476769483</v>
      </c>
      <c r="Y29" s="9">
        <v>181.16964944973498</v>
      </c>
      <c r="Z29" s="9">
        <v>174.45684929445667</v>
      </c>
      <c r="AA29" s="9">
        <v>167.73173977296216</v>
      </c>
      <c r="AB29" s="9">
        <v>160.99496121554864</v>
      </c>
      <c r="AC29" s="9">
        <v>154.24728179532235</v>
      </c>
      <c r="AD29" s="9">
        <v>147.48958911138419</v>
      </c>
      <c r="AE29" s="9">
        <v>140.72288046382781</v>
      </c>
      <c r="AF29" s="9">
        <v>133.94825192711093</v>
      </c>
      <c r="AG29" s="9">
        <v>127.16688634151501</v>
      </c>
      <c r="AH29" s="9">
        <v>120.38004035424825</v>
      </c>
      <c r="AI29" s="9">
        <v>113.58903065214926</v>
      </c>
      <c r="AJ29" s="9">
        <v>106.79521953679334</v>
      </c>
      <c r="AK29" s="9">
        <f t="shared" si="3"/>
        <v>100</v>
      </c>
      <c r="AL29" s="21">
        <f t="shared" si="4"/>
        <v>1.3333333333333334E-2</v>
      </c>
      <c r="AM29" s="20">
        <v>5</v>
      </c>
    </row>
    <row r="30" spans="1:39" x14ac:dyDescent="0.25">
      <c r="E30" s="20">
        <v>4</v>
      </c>
      <c r="F30" s="21">
        <f t="shared" si="1"/>
        <v>0.01</v>
      </c>
      <c r="G30" s="9">
        <f t="shared" si="2"/>
        <v>300</v>
      </c>
      <c r="H30" s="9">
        <v>293.46187452058564</v>
      </c>
      <c r="I30" s="9">
        <v>286.92234068636674</v>
      </c>
      <c r="J30" s="9">
        <v>280.38000557410845</v>
      </c>
      <c r="K30" s="9">
        <v>273.83350695458591</v>
      </c>
      <c r="L30" s="9">
        <v>267.28152821861886</v>
      </c>
      <c r="M30" s="9">
        <v>260.72281280311898</v>
      </c>
      <c r="N30" s="9">
        <v>254.15617795904978</v>
      </c>
      <c r="O30" s="9">
        <v>247.58052771042065</v>
      </c>
      <c r="P30" s="9">
        <v>240.99486486230924</v>
      </c>
      <c r="Q30" s="9">
        <v>234.39830192633758</v>
      </c>
      <c r="R30" s="9">
        <v>227.79007084390054</v>
      </c>
      <c r="S30" s="9">
        <v>221.16953140062847</v>
      </c>
      <c r="T30" s="9">
        <v>214.53617823991812</v>
      </c>
      <c r="U30" s="9">
        <v>207.88964639872376</v>
      </c>
      <c r="V30" s="9">
        <v>201.22971530500212</v>
      </c>
      <c r="W30" s="9">
        <v>194.5563111930646</v>
      </c>
      <c r="X30" s="9">
        <v>187.86950791042949</v>
      </c>
      <c r="Y30" s="9">
        <v>181.16952610739321</v>
      </c>
      <c r="Z30" s="9">
        <v>174.45673081825834</v>
      </c>
      <c r="AA30" s="9">
        <v>167.73162746077449</v>
      </c>
      <c r="AB30" s="9">
        <v>160.9948562976744</v>
      </c>
      <c r="AC30" s="9">
        <v>154.24718542102977</v>
      </c>
      <c r="AD30" s="9">
        <v>147.4895023363255</v>
      </c>
      <c r="AE30" s="9">
        <v>140.72280423848403</v>
      </c>
      <c r="AF30" s="9">
        <v>133.94818708638888</v>
      </c>
      <c r="AG30" s="9">
        <v>127.16683359561016</v>
      </c>
      <c r="AH30" s="9">
        <v>120.38000028087295</v>
      </c>
      <c r="AI30" s="9">
        <v>113.5890036902112</v>
      </c>
      <c r="AJ30" s="9">
        <v>106.79520598159307</v>
      </c>
      <c r="AK30" s="9">
        <f t="shared" si="3"/>
        <v>100</v>
      </c>
      <c r="AL30" s="21">
        <f t="shared" si="4"/>
        <v>0.01</v>
      </c>
      <c r="AM30" s="20">
        <v>4</v>
      </c>
    </row>
    <row r="31" spans="1:39" x14ac:dyDescent="0.25">
      <c r="E31" s="20">
        <v>3</v>
      </c>
      <c r="F31" s="21">
        <f t="shared" si="1"/>
        <v>6.6666666666666671E-3</v>
      </c>
      <c r="G31" s="9">
        <f t="shared" si="2"/>
        <v>300</v>
      </c>
      <c r="H31" s="9">
        <v>293.46186539242854</v>
      </c>
      <c r="I31" s="9">
        <v>286.92232253009695</v>
      </c>
      <c r="J31" s="9">
        <v>280.37997858871734</v>
      </c>
      <c r="K31" s="9">
        <v>273.8334714358283</v>
      </c>
      <c r="L31" s="9">
        <v>267.28148455576883</v>
      </c>
      <c r="M31" s="9">
        <v>260.72276147469933</v>
      </c>
      <c r="N31" s="9">
        <v>254.15611952758286</v>
      </c>
      <c r="O31" s="9">
        <v>247.58046281625866</v>
      </c>
      <c r="P31" s="9">
        <v>240.99479421661084</v>
      </c>
      <c r="Q31" s="9">
        <v>234.39822630326944</v>
      </c>
      <c r="R31" s="9">
        <v>227.78999107214818</v>
      </c>
      <c r="S31" s="9">
        <v>221.16944835431104</v>
      </c>
      <c r="T31" s="9">
        <v>214.53609282900575</v>
      </c>
      <c r="U31" s="9">
        <v>207.88955955906371</v>
      </c>
      <c r="V31" s="9">
        <v>201.2296279880623</v>
      </c>
      <c r="W31" s="9">
        <v>194.55622435550765</v>
      </c>
      <c r="X31" s="9">
        <v>187.86942250363145</v>
      </c>
      <c r="Y31" s="9">
        <v>181.16944306702146</v>
      </c>
      <c r="Z31" s="9">
        <v>174.45665105402321</v>
      </c>
      <c r="AA31" s="9">
        <v>167.73155184646652</v>
      </c>
      <c r="AB31" s="9">
        <v>160.99478566159638</v>
      </c>
      <c r="AC31" s="9">
        <v>154.24712053692781</v>
      </c>
      <c r="AD31" s="9">
        <v>147.48944391491864</v>
      </c>
      <c r="AE31" s="9">
        <v>140.72275291968469</v>
      </c>
      <c r="AF31" s="9">
        <v>133.9481434322991</v>
      </c>
      <c r="AG31" s="9">
        <v>127.16679808436979</v>
      </c>
      <c r="AH31" s="9">
        <v>120.3799733014275</v>
      </c>
      <c r="AI31" s="9">
        <v>113.58898553805574</v>
      </c>
      <c r="AJ31" s="9">
        <v>106.79519685553907</v>
      </c>
      <c r="AK31" s="9">
        <f t="shared" si="3"/>
        <v>100</v>
      </c>
      <c r="AL31" s="21">
        <f t="shared" si="4"/>
        <v>6.6666666666666671E-3</v>
      </c>
      <c r="AM31" s="20">
        <v>3</v>
      </c>
    </row>
    <row r="32" spans="1:39" x14ac:dyDescent="0.25">
      <c r="E32" s="20">
        <v>2</v>
      </c>
      <c r="F32" s="21">
        <f>$B$6*(E32-1)</f>
        <v>3.3333333333333335E-3</v>
      </c>
      <c r="G32" s="9">
        <f t="shared" si="2"/>
        <v>300</v>
      </c>
      <c r="H32" s="9">
        <v>293.46186080144162</v>
      </c>
      <c r="I32" s="9">
        <v>286.92231339844017</v>
      </c>
      <c r="J32" s="9">
        <v>280.37996501647291</v>
      </c>
      <c r="K32" s="9">
        <v>273.83345357174562</v>
      </c>
      <c r="L32" s="9">
        <v>267.28146259563238</v>
      </c>
      <c r="M32" s="9">
        <v>260.72273565918113</v>
      </c>
      <c r="N32" s="9">
        <v>254.15609013960236</v>
      </c>
      <c r="O32" s="9">
        <v>247.58043017787952</v>
      </c>
      <c r="P32" s="9">
        <v>240.99475868550888</v>
      </c>
      <c r="Q32" s="9">
        <v>234.39818826881003</v>
      </c>
      <c r="R32" s="9">
        <v>227.78995095111699</v>
      </c>
      <c r="S32" s="9">
        <v>221.16940658634439</v>
      </c>
      <c r="T32" s="9">
        <v>214.53604987177118</v>
      </c>
      <c r="U32" s="9">
        <v>207.88951588324358</v>
      </c>
      <c r="V32" s="9">
        <v>201.22958407219531</v>
      </c>
      <c r="W32" s="9">
        <v>194.55618068074526</v>
      </c>
      <c r="X32" s="9">
        <v>187.86937954846616</v>
      </c>
      <c r="Y32" s="9">
        <v>181.16940130204517</v>
      </c>
      <c r="Z32" s="9">
        <v>174.45661093677279</v>
      </c>
      <c r="AA32" s="9">
        <v>167.73151381641304</v>
      </c>
      <c r="AB32" s="9">
        <v>160.99475013533294</v>
      </c>
      <c r="AC32" s="9">
        <v>154.2470879036083</v>
      </c>
      <c r="AD32" s="9">
        <v>147.48941453199774</v>
      </c>
      <c r="AE32" s="9">
        <v>140.72272710900501</v>
      </c>
      <c r="AF32" s="9">
        <v>133.94812147656859</v>
      </c>
      <c r="AG32" s="9">
        <v>127.16678022406785</v>
      </c>
      <c r="AH32" s="9">
        <v>120.37995973217346</v>
      </c>
      <c r="AI32" s="9">
        <v>113.58897640846823</v>
      </c>
      <c r="AJ32" s="9">
        <v>106.79519226560987</v>
      </c>
      <c r="AK32" s="9">
        <f t="shared" si="3"/>
        <v>100</v>
      </c>
      <c r="AL32" s="21">
        <f t="shared" si="4"/>
        <v>3.3333333333333335E-3</v>
      </c>
      <c r="AM32" s="20">
        <v>2</v>
      </c>
    </row>
    <row r="33" spans="5:138" x14ac:dyDescent="0.25">
      <c r="E33" s="20">
        <v>1</v>
      </c>
      <c r="F33" s="21">
        <v>0</v>
      </c>
      <c r="G33" s="9">
        <f t="shared" si="2"/>
        <v>300</v>
      </c>
      <c r="H33" s="9">
        <v>293.46186080144162</v>
      </c>
      <c r="I33" s="9">
        <v>286.92231339844017</v>
      </c>
      <c r="J33" s="9">
        <v>280.37996501647291</v>
      </c>
      <c r="K33" s="9">
        <v>273.83345357174562</v>
      </c>
      <c r="L33" s="9">
        <v>267.28146259563238</v>
      </c>
      <c r="M33" s="9">
        <v>260.72273565918113</v>
      </c>
      <c r="N33" s="9">
        <v>254.15609013960236</v>
      </c>
      <c r="O33" s="9">
        <v>247.58043017787952</v>
      </c>
      <c r="P33" s="9">
        <v>240.99475868550888</v>
      </c>
      <c r="Q33" s="9">
        <v>234.39818826881003</v>
      </c>
      <c r="R33" s="9">
        <v>227.78995095111699</v>
      </c>
      <c r="S33" s="9">
        <v>221.16940658634439</v>
      </c>
      <c r="T33" s="9">
        <v>214.53604987177118</v>
      </c>
      <c r="U33" s="9">
        <v>207.88951588324358</v>
      </c>
      <c r="V33" s="9">
        <v>201.22958407219531</v>
      </c>
      <c r="W33" s="9">
        <v>194.55618068074526</v>
      </c>
      <c r="X33" s="9">
        <v>187.86937954846616</v>
      </c>
      <c r="Y33" s="9">
        <v>181.16940130204517</v>
      </c>
      <c r="Z33" s="9">
        <v>174.45661093677279</v>
      </c>
      <c r="AA33" s="9">
        <v>167.73151381641304</v>
      </c>
      <c r="AB33" s="9">
        <v>160.99475013533294</v>
      </c>
      <c r="AC33" s="9">
        <v>154.2470879036083</v>
      </c>
      <c r="AD33" s="9">
        <v>147.48941453199774</v>
      </c>
      <c r="AE33" s="9">
        <v>140.72272710900501</v>
      </c>
      <c r="AF33" s="9">
        <v>133.94812147656859</v>
      </c>
      <c r="AG33" s="9">
        <v>127.16678022406785</v>
      </c>
      <c r="AH33" s="9">
        <v>120.37995973217346</v>
      </c>
      <c r="AI33" s="9">
        <v>113.58897640846823</v>
      </c>
      <c r="AJ33" s="9">
        <v>106.79519226560987</v>
      </c>
      <c r="AK33" s="9">
        <f t="shared" si="3"/>
        <v>100</v>
      </c>
      <c r="AL33" s="21">
        <f t="shared" si="4"/>
        <v>0</v>
      </c>
      <c r="AM33" s="20">
        <v>1</v>
      </c>
    </row>
    <row r="34" spans="5:138" x14ac:dyDescent="0.25">
      <c r="E34" s="22"/>
      <c r="F34" s="23"/>
      <c r="G34" s="20">
        <v>0</v>
      </c>
      <c r="H34" s="21">
        <f>$B$5*(H35-1)</f>
        <v>3.3333333333333335E-3</v>
      </c>
      <c r="I34" s="21">
        <f t="shared" ref="I34:AK34" si="5">$B$5*(I35-1)</f>
        <v>6.6666666666666671E-3</v>
      </c>
      <c r="J34" s="21">
        <f t="shared" si="5"/>
        <v>0.01</v>
      </c>
      <c r="K34" s="21">
        <f t="shared" si="5"/>
        <v>1.3333333333333334E-2</v>
      </c>
      <c r="L34" s="21">
        <f t="shared" si="5"/>
        <v>1.6666666666666666E-2</v>
      </c>
      <c r="M34" s="21">
        <f t="shared" si="5"/>
        <v>0.02</v>
      </c>
      <c r="N34" s="21">
        <f t="shared" si="5"/>
        <v>2.3333333333333334E-2</v>
      </c>
      <c r="O34" s="21">
        <f t="shared" si="5"/>
        <v>2.6666666666666668E-2</v>
      </c>
      <c r="P34" s="21">
        <f t="shared" si="5"/>
        <v>3.0000000000000002E-2</v>
      </c>
      <c r="Q34" s="21">
        <f t="shared" si="5"/>
        <v>3.3333333333333333E-2</v>
      </c>
      <c r="R34" s="21">
        <f t="shared" si="5"/>
        <v>3.6666666666666667E-2</v>
      </c>
      <c r="S34" s="21">
        <f t="shared" si="5"/>
        <v>0.04</v>
      </c>
      <c r="T34" s="21">
        <f t="shared" si="5"/>
        <v>4.3333333333333335E-2</v>
      </c>
      <c r="U34" s="21">
        <f t="shared" si="5"/>
        <v>4.6666666666666669E-2</v>
      </c>
      <c r="V34" s="21">
        <f t="shared" si="5"/>
        <v>0.05</v>
      </c>
      <c r="W34" s="21">
        <f t="shared" si="5"/>
        <v>5.3333333333333337E-2</v>
      </c>
      <c r="X34" s="21">
        <f t="shared" si="5"/>
        <v>5.6666666666666671E-2</v>
      </c>
      <c r="Y34" s="21">
        <f t="shared" si="5"/>
        <v>6.0000000000000005E-2</v>
      </c>
      <c r="Z34" s="21">
        <f t="shared" si="5"/>
        <v>6.3333333333333339E-2</v>
      </c>
      <c r="AA34" s="21">
        <f t="shared" si="5"/>
        <v>6.6666666666666666E-2</v>
      </c>
      <c r="AB34" s="21">
        <f t="shared" si="5"/>
        <v>7.0000000000000007E-2</v>
      </c>
      <c r="AC34" s="21">
        <f t="shared" si="5"/>
        <v>7.3333333333333334E-2</v>
      </c>
      <c r="AD34" s="21">
        <f t="shared" si="5"/>
        <v>7.6666666666666675E-2</v>
      </c>
      <c r="AE34" s="21">
        <f t="shared" si="5"/>
        <v>0.08</v>
      </c>
      <c r="AF34" s="21">
        <f t="shared" si="5"/>
        <v>8.3333333333333343E-2</v>
      </c>
      <c r="AG34" s="21">
        <f t="shared" si="5"/>
        <v>8.666666666666667E-2</v>
      </c>
      <c r="AH34" s="21">
        <f t="shared" si="5"/>
        <v>9.0000000000000011E-2</v>
      </c>
      <c r="AI34" s="21">
        <f t="shared" si="5"/>
        <v>9.3333333333333338E-2</v>
      </c>
      <c r="AJ34" s="21">
        <f t="shared" si="5"/>
        <v>9.6666666666666679E-2</v>
      </c>
      <c r="AK34" s="21">
        <f t="shared" si="5"/>
        <v>0.1</v>
      </c>
      <c r="AL34" s="26"/>
      <c r="AM34" s="23"/>
      <c r="AN34" s="10"/>
    </row>
    <row r="35" spans="5:138" x14ac:dyDescent="0.25">
      <c r="E35" s="24"/>
      <c r="F35" s="25"/>
      <c r="G35" s="20">
        <v>1</v>
      </c>
      <c r="H35" s="20">
        <v>2</v>
      </c>
      <c r="I35" s="20">
        <v>3</v>
      </c>
      <c r="J35" s="20">
        <v>4</v>
      </c>
      <c r="K35" s="20">
        <v>5</v>
      </c>
      <c r="L35" s="20">
        <v>6</v>
      </c>
      <c r="M35" s="20">
        <v>7</v>
      </c>
      <c r="N35" s="20">
        <v>8</v>
      </c>
      <c r="O35" s="20">
        <v>9</v>
      </c>
      <c r="P35" s="20">
        <v>10</v>
      </c>
      <c r="Q35" s="20">
        <v>11</v>
      </c>
      <c r="R35" s="20">
        <v>12</v>
      </c>
      <c r="S35" s="20">
        <v>13</v>
      </c>
      <c r="T35" s="20">
        <v>14</v>
      </c>
      <c r="U35" s="20">
        <v>15</v>
      </c>
      <c r="V35" s="20">
        <v>16</v>
      </c>
      <c r="W35" s="20">
        <v>17</v>
      </c>
      <c r="X35" s="20">
        <v>18</v>
      </c>
      <c r="Y35" s="20">
        <v>19</v>
      </c>
      <c r="Z35" s="20">
        <v>20</v>
      </c>
      <c r="AA35" s="20">
        <v>21</v>
      </c>
      <c r="AB35" s="20">
        <v>22</v>
      </c>
      <c r="AC35" s="20">
        <v>23</v>
      </c>
      <c r="AD35" s="20">
        <v>24</v>
      </c>
      <c r="AE35" s="20">
        <v>25</v>
      </c>
      <c r="AF35" s="20">
        <v>26</v>
      </c>
      <c r="AG35" s="20">
        <v>27</v>
      </c>
      <c r="AH35" s="20">
        <v>28</v>
      </c>
      <c r="AI35" s="20">
        <v>29</v>
      </c>
      <c r="AJ35" s="20">
        <v>30</v>
      </c>
      <c r="AK35" s="20">
        <v>31</v>
      </c>
      <c r="AL35" s="27"/>
      <c r="AM35" s="25"/>
      <c r="AN35" s="10"/>
    </row>
    <row r="36" spans="5:138" x14ac:dyDescent="0.25"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0"/>
      <c r="AM36" s="11"/>
    </row>
    <row r="37" spans="5:138" x14ac:dyDescent="0.25">
      <c r="AL37" s="10"/>
      <c r="AM37" s="11"/>
    </row>
    <row r="38" spans="5:138" x14ac:dyDescent="0.25">
      <c r="E38" s="34" t="s">
        <v>37</v>
      </c>
      <c r="F38" s="20" t="s">
        <v>36</v>
      </c>
      <c r="G38" s="20">
        <v>0</v>
      </c>
      <c r="H38" s="21">
        <v>3.3333333333333335E-3</v>
      </c>
      <c r="I38" s="21">
        <v>6.6666666666666671E-3</v>
      </c>
      <c r="J38" s="21">
        <v>0.01</v>
      </c>
      <c r="K38" s="21">
        <v>1.3333333333333334E-2</v>
      </c>
      <c r="L38" s="21">
        <v>1.6666666666666666E-2</v>
      </c>
      <c r="M38" s="21">
        <v>0.02</v>
      </c>
      <c r="N38" s="21">
        <v>2.3333333333333334E-2</v>
      </c>
      <c r="O38" s="21">
        <v>2.6666666666666668E-2</v>
      </c>
      <c r="P38" s="21">
        <v>3.0000000000000002E-2</v>
      </c>
      <c r="Q38" s="21">
        <v>3.3333333333333333E-2</v>
      </c>
      <c r="R38" s="21">
        <v>3.6666666666666667E-2</v>
      </c>
      <c r="S38" s="21">
        <v>0.04</v>
      </c>
      <c r="T38" s="21">
        <v>4.3333333333333335E-2</v>
      </c>
      <c r="U38" s="21">
        <v>4.6666666666666669E-2</v>
      </c>
      <c r="V38" s="21">
        <v>0.05</v>
      </c>
      <c r="W38" s="21">
        <v>5.3333333333333337E-2</v>
      </c>
      <c r="X38" s="21">
        <v>5.6666666666666671E-2</v>
      </c>
      <c r="Y38" s="21">
        <v>6.0000000000000005E-2</v>
      </c>
      <c r="Z38" s="21">
        <v>6.3333333333333339E-2</v>
      </c>
      <c r="AA38" s="21">
        <v>6.6666666666666666E-2</v>
      </c>
      <c r="AB38" s="21">
        <v>7.0000000000000007E-2</v>
      </c>
      <c r="AC38" s="21">
        <v>7.3333333333333334E-2</v>
      </c>
      <c r="AD38" s="21">
        <v>7.6666666666666675E-2</v>
      </c>
      <c r="AE38" s="21">
        <v>0.08</v>
      </c>
      <c r="AF38" s="21">
        <v>8.3333333333333343E-2</v>
      </c>
      <c r="AG38" s="21">
        <v>8.666666666666667E-2</v>
      </c>
      <c r="AH38" s="21">
        <v>9.0000000000000011E-2</v>
      </c>
      <c r="AI38" s="21">
        <v>9.3333333333333338E-2</v>
      </c>
      <c r="AJ38" s="21">
        <v>9.6666666666666679E-2</v>
      </c>
      <c r="AK38" s="21">
        <v>0.1</v>
      </c>
      <c r="AL38" s="33" t="s">
        <v>38</v>
      </c>
      <c r="AM38" s="20" t="s">
        <v>36</v>
      </c>
      <c r="AN38" s="20">
        <v>0</v>
      </c>
      <c r="AO38" s="21">
        <v>3.3333333333333335E-3</v>
      </c>
      <c r="AP38" s="21">
        <v>6.6666666666666671E-3</v>
      </c>
      <c r="AQ38" s="21">
        <v>0.01</v>
      </c>
      <c r="AR38" s="21">
        <v>1.3333333333333334E-2</v>
      </c>
      <c r="AS38" s="21">
        <v>1.6666666666666666E-2</v>
      </c>
      <c r="AT38" s="21">
        <v>0.02</v>
      </c>
      <c r="AU38" s="21">
        <v>2.3333333333333334E-2</v>
      </c>
      <c r="AV38" s="21">
        <v>2.6666666666666668E-2</v>
      </c>
      <c r="AW38" s="21">
        <v>3.0000000000000002E-2</v>
      </c>
      <c r="AX38" s="21">
        <v>3.3333333333333333E-2</v>
      </c>
      <c r="AY38" s="21">
        <v>3.6666666666666667E-2</v>
      </c>
      <c r="AZ38" s="21">
        <v>0.04</v>
      </c>
      <c r="BA38" s="21">
        <v>4.3333333333333335E-2</v>
      </c>
      <c r="BB38" s="21">
        <v>4.6666666666666669E-2</v>
      </c>
      <c r="BC38" s="21">
        <v>0.05</v>
      </c>
      <c r="BD38" s="21">
        <v>5.3333333333333337E-2</v>
      </c>
      <c r="BE38" s="21">
        <v>5.6666666666666671E-2</v>
      </c>
      <c r="BF38" s="21">
        <v>6.0000000000000005E-2</v>
      </c>
      <c r="BG38" s="21">
        <v>6.3333333333333339E-2</v>
      </c>
      <c r="BH38" s="21">
        <v>6.6666666666666666E-2</v>
      </c>
      <c r="BI38" s="21">
        <v>7.0000000000000007E-2</v>
      </c>
      <c r="BJ38" s="21">
        <v>7.3333333333333334E-2</v>
      </c>
      <c r="BK38" s="21">
        <v>7.6666666666666675E-2</v>
      </c>
      <c r="BL38" s="21">
        <v>0.08</v>
      </c>
      <c r="BM38" s="21">
        <v>8.3333333333333343E-2</v>
      </c>
      <c r="BN38" s="21">
        <v>8.666666666666667E-2</v>
      </c>
      <c r="BO38" s="21">
        <v>9.0000000000000011E-2</v>
      </c>
      <c r="BP38" s="21">
        <v>9.3333333333333338E-2</v>
      </c>
      <c r="BQ38" s="21">
        <v>9.6666666666666679E-2</v>
      </c>
      <c r="BR38" s="21">
        <v>0.1</v>
      </c>
      <c r="BT38" s="33" t="s">
        <v>40</v>
      </c>
      <c r="BU38" s="20" t="s">
        <v>36</v>
      </c>
      <c r="BV38" s="20">
        <v>0</v>
      </c>
      <c r="BW38" s="21">
        <v>3.3333333333333335E-3</v>
      </c>
      <c r="BX38" s="21">
        <v>6.6666666666666671E-3</v>
      </c>
      <c r="BY38" s="21">
        <v>0.01</v>
      </c>
      <c r="BZ38" s="21">
        <v>1.3333333333333334E-2</v>
      </c>
      <c r="CA38" s="21">
        <v>1.6666666666666666E-2</v>
      </c>
      <c r="CB38" s="21">
        <v>0.02</v>
      </c>
      <c r="CC38" s="21">
        <v>2.3333333333333334E-2</v>
      </c>
      <c r="CD38" s="21">
        <v>2.6666666666666668E-2</v>
      </c>
      <c r="CE38" s="21">
        <v>3.0000000000000002E-2</v>
      </c>
      <c r="CF38" s="21">
        <v>3.3333333333333333E-2</v>
      </c>
      <c r="CG38" s="21">
        <v>3.6666666666666667E-2</v>
      </c>
      <c r="CH38" s="21">
        <v>0.04</v>
      </c>
      <c r="CI38" s="21">
        <v>4.3333333333333335E-2</v>
      </c>
      <c r="CJ38" s="21">
        <v>4.6666666666666669E-2</v>
      </c>
      <c r="CK38" s="21">
        <v>0.05</v>
      </c>
      <c r="CL38" s="21">
        <v>5.3333333333333337E-2</v>
      </c>
      <c r="CM38" s="21">
        <v>5.6666666666666671E-2</v>
      </c>
      <c r="CN38" s="21">
        <v>6.0000000000000005E-2</v>
      </c>
      <c r="CO38" s="21">
        <v>6.3333333333333339E-2</v>
      </c>
      <c r="CP38" s="21">
        <v>6.6666666666666666E-2</v>
      </c>
      <c r="CQ38" s="21">
        <v>7.0000000000000007E-2</v>
      </c>
      <c r="CR38" s="21">
        <v>7.3333333333333334E-2</v>
      </c>
      <c r="CS38" s="21">
        <v>7.6666666666666675E-2</v>
      </c>
      <c r="CT38" s="21">
        <v>0.08</v>
      </c>
      <c r="CU38" s="21">
        <v>8.3333333333333343E-2</v>
      </c>
      <c r="CV38" s="21">
        <v>8.666666666666667E-2</v>
      </c>
      <c r="CW38" s="21">
        <v>9.0000000000000011E-2</v>
      </c>
      <c r="CX38" s="21">
        <v>9.3333333333333338E-2</v>
      </c>
      <c r="CY38" s="21">
        <v>9.6666666666666679E-2</v>
      </c>
      <c r="CZ38" s="21">
        <v>0.1</v>
      </c>
      <c r="DB38" s="33" t="s">
        <v>39</v>
      </c>
      <c r="DC38" s="20" t="s">
        <v>36</v>
      </c>
      <c r="DD38" s="20">
        <v>0</v>
      </c>
      <c r="DE38" s="21">
        <v>3.3333333333333335E-3</v>
      </c>
      <c r="DF38" s="21">
        <v>6.6666666666666671E-3</v>
      </c>
      <c r="DG38" s="21">
        <v>0.01</v>
      </c>
      <c r="DH38" s="21">
        <v>1.3333333333333334E-2</v>
      </c>
      <c r="DI38" s="21">
        <v>1.6666666666666666E-2</v>
      </c>
      <c r="DJ38" s="21">
        <v>0.02</v>
      </c>
      <c r="DK38" s="21">
        <v>2.3333333333333334E-2</v>
      </c>
      <c r="DL38" s="21">
        <v>2.6666666666666668E-2</v>
      </c>
      <c r="DM38" s="21">
        <v>3.0000000000000002E-2</v>
      </c>
      <c r="DN38" s="21">
        <v>3.3333333333333333E-2</v>
      </c>
      <c r="DO38" s="21">
        <v>3.6666666666666667E-2</v>
      </c>
      <c r="DP38" s="21">
        <v>0.04</v>
      </c>
      <c r="DQ38" s="21">
        <v>4.3333333333333335E-2</v>
      </c>
      <c r="DR38" s="21">
        <v>4.6666666666666669E-2</v>
      </c>
      <c r="DS38" s="21">
        <v>0.05</v>
      </c>
      <c r="DT38" s="21">
        <v>5.3333333333333337E-2</v>
      </c>
      <c r="DU38" s="21">
        <v>5.6666666666666671E-2</v>
      </c>
      <c r="DV38" s="21">
        <v>6.0000000000000005E-2</v>
      </c>
      <c r="DW38" s="21">
        <v>6.3333333333333339E-2</v>
      </c>
      <c r="DX38" s="21">
        <v>6.6666666666666666E-2</v>
      </c>
      <c r="DY38" s="21">
        <v>7.0000000000000007E-2</v>
      </c>
      <c r="DZ38" s="21">
        <v>7.3333333333333334E-2</v>
      </c>
      <c r="EA38" s="21">
        <v>7.6666666666666675E-2</v>
      </c>
      <c r="EB38" s="21">
        <v>0.08</v>
      </c>
      <c r="EC38" s="21">
        <v>8.3333333333333343E-2</v>
      </c>
      <c r="ED38" s="21">
        <v>8.666666666666667E-2</v>
      </c>
      <c r="EE38" s="21">
        <v>9.0000000000000011E-2</v>
      </c>
      <c r="EF38" s="21">
        <v>9.3333333333333338E-2</v>
      </c>
      <c r="EG38" s="21">
        <v>9.6666666666666679E-2</v>
      </c>
      <c r="EH38" s="21">
        <v>0.1</v>
      </c>
    </row>
    <row r="39" spans="5:138" x14ac:dyDescent="0.25">
      <c r="E39" s="35"/>
      <c r="F39" s="21">
        <v>0.1</v>
      </c>
      <c r="G39" s="14">
        <f>$B$16</f>
        <v>300</v>
      </c>
      <c r="H39" s="16">
        <f>BW39*I39+DE39</f>
        <v>293.46102966778068</v>
      </c>
      <c r="I39" s="16">
        <f t="shared" ref="I39:AI39" si="6">BX39*J39+DF39</f>
        <v>286.9206602358488</v>
      </c>
      <c r="J39" s="16">
        <f t="shared" si="6"/>
        <v>280.37750793471736</v>
      </c>
      <c r="K39" s="16">
        <f t="shared" si="6"/>
        <v>273.83021948732835</v>
      </c>
      <c r="L39" s="16">
        <f t="shared" si="6"/>
        <v>267.2774869370557</v>
      </c>
      <c r="M39" s="16">
        <f t="shared" si="6"/>
        <v>260.71806197899457</v>
      </c>
      <c r="N39" s="16">
        <f t="shared" si="6"/>
        <v>254.15076963747669</v>
      </c>
      <c r="O39" s="16">
        <f t="shared" si="6"/>
        <v>247.57452113992107</v>
      </c>
      <c r="P39" s="16">
        <f t="shared" si="6"/>
        <v>240.98832584594584</v>
      </c>
      <c r="Q39" s="16">
        <f t="shared" si="6"/>
        <v>234.39130210103136</v>
      </c>
      <c r="R39" s="16">
        <f t="shared" si="6"/>
        <v>227.78268689582023</v>
      </c>
      <c r="S39" s="16">
        <f t="shared" si="6"/>
        <v>221.161844225236</v>
      </c>
      <c r="T39" s="16">
        <f t="shared" si="6"/>
        <v>214.52827205586266</v>
      </c>
      <c r="U39" s="16">
        <f t="shared" si="6"/>
        <v>207.88160782528459</v>
      </c>
      <c r="V39" s="16">
        <f t="shared" si="6"/>
        <v>201.22163241317992</v>
      </c>
      <c r="W39" s="16">
        <f t="shared" si="6"/>
        <v>194.54827254071358</v>
      </c>
      <c r="X39" s="16">
        <f t="shared" si="6"/>
        <v>187.86160157199916</v>
      </c>
      <c r="Y39" s="16">
        <f t="shared" si="6"/>
        <v>181.1618387089097</v>
      </c>
      <c r="Z39" s="16">
        <f t="shared" si="6"/>
        <v>174.4493465881211</v>
      </c>
      <c r="AA39" s="16">
        <f t="shared" si="6"/>
        <v>167.7246273067727</v>
      </c>
      <c r="AB39" s="16">
        <f t="shared" si="6"/>
        <v>160.9883169203423</v>
      </c>
      <c r="AC39" s="16">
        <f t="shared" si="6"/>
        <v>154.24117847306442</v>
      </c>
      <c r="AD39" s="16">
        <f t="shared" si="6"/>
        <v>147.48409363728663</v>
      </c>
      <c r="AE39" s="16">
        <f t="shared" si="6"/>
        <v>140.71805305339086</v>
      </c>
      <c r="AF39" s="16">
        <f t="shared" si="6"/>
        <v>133.94414547613019</v>
      </c>
      <c r="AG39" s="16">
        <f t="shared" si="6"/>
        <v>127.16354584629576</v>
      </c>
      <c r="AH39" s="16">
        <f t="shared" si="6"/>
        <v>120.37750241839083</v>
      </c>
      <c r="AI39" s="16">
        <f t="shared" si="6"/>
        <v>113.58732308531839</v>
      </c>
      <c r="AJ39" s="16">
        <f>CY39*AK39+EG39</f>
        <v>106.79436104987624</v>
      </c>
      <c r="AK39" s="14">
        <f>$B$17</f>
        <v>100</v>
      </c>
      <c r="AL39" s="33"/>
      <c r="AM39" s="13">
        <v>0.1</v>
      </c>
      <c r="AN39" s="17">
        <f>-($B$12*$B$11)/$B$8*G3</f>
        <v>-1076400000</v>
      </c>
      <c r="AO39" s="17">
        <f t="shared" ref="AO39:BR39" si="7">-($B$12*$B$11)/$B$8*H3</f>
        <v>-1052943966.7208071</v>
      </c>
      <c r="AP39" s="17">
        <f t="shared" si="7"/>
        <v>-1029482850.0047116</v>
      </c>
      <c r="AQ39" s="17">
        <f t="shared" si="7"/>
        <v>-1006011622.1152719</v>
      </c>
      <c r="AR39" s="17">
        <f t="shared" si="7"/>
        <v>-982525366.10647321</v>
      </c>
      <c r="AS39" s="17">
        <f t="shared" si="7"/>
        <v>-959019329.69840014</v>
      </c>
      <c r="AT39" s="17">
        <f t="shared" si="7"/>
        <v>-935488977.34814286</v>
      </c>
      <c r="AU39" s="17">
        <f t="shared" si="7"/>
        <v>-911930039.94526267</v>
      </c>
      <c r="AV39" s="17">
        <f t="shared" si="7"/>
        <v>-888338561.58721435</v>
      </c>
      <c r="AW39" s="17">
        <f t="shared" si="7"/>
        <v>-864710942.92214179</v>
      </c>
      <c r="AX39" s="17">
        <f t="shared" si="7"/>
        <v>-841043980.58412862</v>
      </c>
      <c r="AY39" s="17">
        <f t="shared" si="7"/>
        <v>-817334902.28884768</v>
      </c>
      <c r="AZ39" s="17">
        <f t="shared" si="7"/>
        <v>-793581397.20513344</v>
      </c>
      <c r="BA39" s="17">
        <f t="shared" si="7"/>
        <v>-769781641.26982307</v>
      </c>
      <c r="BB39" s="17">
        <f t="shared" si="7"/>
        <v>-745934317.16864109</v>
      </c>
      <c r="BC39" s="17">
        <f t="shared" si="7"/>
        <v>-722038628.76438665</v>
      </c>
      <c r="BD39" s="17">
        <f t="shared" si="7"/>
        <v>-698094309.81454754</v>
      </c>
      <c r="BE39" s="17">
        <f t="shared" si="7"/>
        <v>-674101626.88304555</v>
      </c>
      <c r="BF39" s="17">
        <f t="shared" si="7"/>
        <v>-650061376.41444242</v>
      </c>
      <c r="BG39" s="17">
        <f t="shared" si="7"/>
        <v>-625974876.00289655</v>
      </c>
      <c r="BH39" s="17">
        <f t="shared" si="7"/>
        <v>-601843949.95173979</v>
      </c>
      <c r="BI39" s="17">
        <f t="shared" si="7"/>
        <v>-577670909.28209686</v>
      </c>
      <c r="BJ39" s="17">
        <f t="shared" si="7"/>
        <v>-553458526.40974498</v>
      </c>
      <c r="BK39" s="17">
        <f t="shared" si="7"/>
        <v>-529210004.76779294</v>
      </c>
      <c r="BL39" s="17">
        <f t="shared" si="7"/>
        <v>-504928943.70809716</v>
      </c>
      <c r="BM39" s="17">
        <f t="shared" si="7"/>
        <v>-480619299.06601042</v>
      </c>
      <c r="BN39" s="17">
        <f t="shared" si="7"/>
        <v>-456285339.82052118</v>
      </c>
      <c r="BO39" s="17">
        <f t="shared" si="7"/>
        <v>-431931601.32458007</v>
      </c>
      <c r="BP39" s="17">
        <f t="shared" si="7"/>
        <v>-407562835.61793309</v>
      </c>
      <c r="BQ39" s="17">
        <f t="shared" si="7"/>
        <v>-383183959.36671335</v>
      </c>
      <c r="BR39" s="17">
        <f t="shared" si="7"/>
        <v>-358800000</v>
      </c>
      <c r="BT39" s="33"/>
      <c r="BU39" s="21">
        <v>0.1</v>
      </c>
      <c r="BV39" s="17">
        <v>0</v>
      </c>
      <c r="BW39" s="17">
        <f>$B$20/($B$21-$B$22*BV39)</f>
        <v>0.34883720930232553</v>
      </c>
      <c r="BX39" s="17">
        <f t="shared" ref="BX39:CY39" si="8">$B$20/($B$21-$B$22*BW39)</f>
        <v>0.39716748768472904</v>
      </c>
      <c r="BY39" s="17">
        <f t="shared" si="8"/>
        <v>0.40494040593779607</v>
      </c>
      <c r="BZ39" s="17">
        <f t="shared" si="8"/>
        <v>0.4062190081621499</v>
      </c>
      <c r="CA39" s="17">
        <f t="shared" si="8"/>
        <v>0.40643010492156101</v>
      </c>
      <c r="CB39" s="17">
        <f t="shared" si="8"/>
        <v>0.40646497802255066</v>
      </c>
      <c r="CC39" s="17">
        <f t="shared" si="8"/>
        <v>0.40647073962099717</v>
      </c>
      <c r="CD39" s="17">
        <f t="shared" si="8"/>
        <v>0.40647169154566137</v>
      </c>
      <c r="CE39" s="17">
        <f t="shared" si="8"/>
        <v>0.40647184882198806</v>
      </c>
      <c r="CF39" s="17">
        <f t="shared" si="8"/>
        <v>0.40647187480708435</v>
      </c>
      <c r="CG39" s="17">
        <f t="shared" si="8"/>
        <v>0.40647187910032606</v>
      </c>
      <c r="CH39" s="17">
        <f t="shared" si="8"/>
        <v>0.40647187980965277</v>
      </c>
      <c r="CI39" s="17">
        <f t="shared" si="8"/>
        <v>0.4064718799268473</v>
      </c>
      <c r="CJ39" s="17">
        <f t="shared" si="8"/>
        <v>0.40647187994621015</v>
      </c>
      <c r="CK39" s="17">
        <f t="shared" si="8"/>
        <v>0.40647187994940925</v>
      </c>
      <c r="CL39" s="17">
        <f t="shared" si="8"/>
        <v>0.40647187994993778</v>
      </c>
      <c r="CM39" s="17">
        <f t="shared" si="8"/>
        <v>0.40647187995002515</v>
      </c>
      <c r="CN39" s="17">
        <f t="shared" si="8"/>
        <v>0.40647187995003953</v>
      </c>
      <c r="CO39" s="17">
        <f t="shared" si="8"/>
        <v>0.40647187995004191</v>
      </c>
      <c r="CP39" s="17">
        <f t="shared" si="8"/>
        <v>0.40647187995004236</v>
      </c>
      <c r="CQ39" s="17">
        <f t="shared" si="8"/>
        <v>0.40647187995004236</v>
      </c>
      <c r="CR39" s="17">
        <f t="shared" si="8"/>
        <v>0.40647187995004236</v>
      </c>
      <c r="CS39" s="17">
        <f t="shared" si="8"/>
        <v>0.40647187995004236</v>
      </c>
      <c r="CT39" s="17">
        <f t="shared" si="8"/>
        <v>0.40647187995004236</v>
      </c>
      <c r="CU39" s="17">
        <f t="shared" si="8"/>
        <v>0.40647187995004236</v>
      </c>
      <c r="CV39" s="17">
        <f t="shared" si="8"/>
        <v>0.40647187995004236</v>
      </c>
      <c r="CW39" s="17">
        <f t="shared" si="8"/>
        <v>0.40647187995004236</v>
      </c>
      <c r="CX39" s="17">
        <f t="shared" si="8"/>
        <v>0.40647187995004236</v>
      </c>
      <c r="CY39" s="17">
        <f t="shared" si="8"/>
        <v>0.40647187995004236</v>
      </c>
      <c r="CZ39" s="12">
        <f>$B$17</f>
        <v>100</v>
      </c>
      <c r="DB39" s="33"/>
      <c r="DC39" s="21">
        <v>0.1</v>
      </c>
      <c r="DD39" s="17">
        <f>G3</f>
        <v>300</v>
      </c>
      <c r="DE39" s="17">
        <f>(DD39*$B$22-AO39)/($B$21-$B$22*BV39)</f>
        <v>193.37242725992647</v>
      </c>
      <c r="DF39" s="17">
        <f t="shared" ref="DF39:EH39" si="9">(DE39*$B$22-AP39)/($B$21-$B$22*BW39)</f>
        <v>175.56382980611193</v>
      </c>
      <c r="DG39" s="17">
        <f t="shared" si="9"/>
        <v>169.4925876974828</v>
      </c>
      <c r="DH39" s="17">
        <f t="shared" si="9"/>
        <v>165.25702383968564</v>
      </c>
      <c r="DI39" s="17">
        <f t="shared" si="9"/>
        <v>161.31381765198691</v>
      </c>
      <c r="DJ39" s="17">
        <f t="shared" si="9"/>
        <v>157.41467498388326</v>
      </c>
      <c r="DK39" s="17">
        <f t="shared" si="9"/>
        <v>153.51897091841877</v>
      </c>
      <c r="DL39" s="17">
        <f t="shared" si="9"/>
        <v>149.61958869056244</v>
      </c>
      <c r="DM39" s="17">
        <f t="shared" si="9"/>
        <v>145.71485993314647</v>
      </c>
      <c r="DN39" s="17">
        <f t="shared" si="9"/>
        <v>141.80404630989221</v>
      </c>
      <c r="DO39" s="17">
        <f t="shared" si="9"/>
        <v>137.88661648829498</v>
      </c>
      <c r="DP39" s="17">
        <f t="shared" si="9"/>
        <v>133.96213421037288</v>
      </c>
      <c r="DQ39" s="17">
        <f t="shared" si="9"/>
        <v>130.03024412090363</v>
      </c>
      <c r="DR39" s="17">
        <f t="shared" si="9"/>
        <v>126.0906726124541</v>
      </c>
      <c r="DS39" s="17">
        <f t="shared" si="9"/>
        <v>122.14323033264601</v>
      </c>
      <c r="DT39" s="17">
        <f t="shared" si="9"/>
        <v>118.18781417933688</v>
      </c>
      <c r="DU39" s="17">
        <f t="shared" si="9"/>
        <v>114.22440841678539</v>
      </c>
      <c r="DV39" s="17">
        <f t="shared" si="9"/>
        <v>110.2530848451801</v>
      </c>
      <c r="DW39" s="17">
        <f t="shared" si="9"/>
        <v>106.27400201281708</v>
      </c>
      <c r="DX39" s="17">
        <f t="shared" si="9"/>
        <v>102.28740347816796</v>
      </c>
      <c r="DY39" s="17">
        <f t="shared" si="9"/>
        <v>98.293615140685802</v>
      </c>
      <c r="DZ39" s="17">
        <f t="shared" si="9"/>
        <v>94.293041669588447</v>
      </c>
      <c r="EA39" s="17">
        <f t="shared" si="9"/>
        <v>90.286162069765055</v>
      </c>
      <c r="EB39" s="17">
        <f t="shared" si="9"/>
        <v>86.273524433406266</v>
      </c>
      <c r="EC39" s="17">
        <f t="shared" si="9"/>
        <v>82.255739934872935</v>
      </c>
      <c r="ED39" s="17">
        <f t="shared" si="9"/>
        <v>78.233476134601659</v>
      </c>
      <c r="EE39" s="17">
        <f t="shared" si="9"/>
        <v>74.207449665408618</v>
      </c>
      <c r="EF39" s="17">
        <f t="shared" si="9"/>
        <v>70.178418381311616</v>
      </c>
      <c r="EG39" s="17">
        <f t="shared" si="9"/>
        <v>66.147173054872013</v>
      </c>
      <c r="EH39" s="17">
        <f t="shared" si="9"/>
        <v>62.11452871399829</v>
      </c>
    </row>
    <row r="40" spans="5:138" x14ac:dyDescent="0.25">
      <c r="E40" s="35"/>
      <c r="F40" s="21">
        <v>9.6666666666666679E-2</v>
      </c>
      <c r="G40" s="14">
        <f t="shared" ref="G40:G69" si="10">$B$16</f>
        <v>300</v>
      </c>
      <c r="H40" s="15">
        <f t="shared" ref="H40:H69" si="11">BW40*I40+DE40</f>
        <v>293.46102966778068</v>
      </c>
      <c r="I40" s="15">
        <f t="shared" ref="I40:I69" si="12">BX40*J40+DF40</f>
        <v>286.9206602358488</v>
      </c>
      <c r="J40" s="15">
        <f t="shared" ref="J40:J69" si="13">BY40*K40+DG40</f>
        <v>280.37750793471736</v>
      </c>
      <c r="K40" s="15">
        <f t="shared" ref="K40:K69" si="14">BZ40*L40+DH40</f>
        <v>273.83021948732835</v>
      </c>
      <c r="L40" s="15">
        <f t="shared" ref="L40:L69" si="15">CA40*M40+DI40</f>
        <v>267.2774869370557</v>
      </c>
      <c r="M40" s="15">
        <f t="shared" ref="M40:M69" si="16">CB40*N40+DJ40</f>
        <v>260.71806197899457</v>
      </c>
      <c r="N40" s="15">
        <f t="shared" ref="N40:N69" si="17">CC40*O40+DK40</f>
        <v>254.15076963747669</v>
      </c>
      <c r="O40" s="15">
        <f t="shared" ref="O40:O69" si="18">CD40*P40+DL40</f>
        <v>247.57452113992107</v>
      </c>
      <c r="P40" s="15">
        <f t="shared" ref="P40:P69" si="19">CE40*Q40+DM40</f>
        <v>240.98832584594584</v>
      </c>
      <c r="Q40" s="15">
        <f t="shared" ref="Q40:Q69" si="20">CF40*R40+DN40</f>
        <v>234.39130210103136</v>
      </c>
      <c r="R40" s="15">
        <f t="shared" ref="R40:R69" si="21">CG40*S40+DO40</f>
        <v>227.78268689582023</v>
      </c>
      <c r="S40" s="15">
        <f t="shared" ref="S40:S69" si="22">CH40*T40+DP40</f>
        <v>221.161844225236</v>
      </c>
      <c r="T40" s="15">
        <f t="shared" ref="T40:T69" si="23">CI40*U40+DQ40</f>
        <v>214.52827205586266</v>
      </c>
      <c r="U40" s="15">
        <f t="shared" ref="U40:U69" si="24">CJ40*V40+DR40</f>
        <v>207.88160782528459</v>
      </c>
      <c r="V40" s="15">
        <f t="shared" ref="V40:V69" si="25">CK40*W40+DS40</f>
        <v>201.22163241317992</v>
      </c>
      <c r="W40" s="15">
        <f t="shared" ref="W40:W69" si="26">CL40*X40+DT40</f>
        <v>194.54827254071361</v>
      </c>
      <c r="X40" s="15">
        <f t="shared" ref="X40:X69" si="27">CM40*Y40+DU40</f>
        <v>187.86160157199919</v>
      </c>
      <c r="Y40" s="15">
        <f t="shared" ref="Y40:Y69" si="28">CN40*Z40+DV40</f>
        <v>181.16183870890973</v>
      </c>
      <c r="Z40" s="15">
        <f t="shared" ref="Z40:Z69" si="29">CO40*AA40+DW40</f>
        <v>174.44934658812116</v>
      </c>
      <c r="AA40" s="15">
        <f t="shared" ref="AA40:AA69" si="30">CP40*AB40+DX40</f>
        <v>167.72462730677276</v>
      </c>
      <c r="AB40" s="15">
        <f t="shared" ref="AB40:AB69" si="31">CQ40*AC40+DY40</f>
        <v>160.98831692034236</v>
      </c>
      <c r="AC40" s="15">
        <f t="shared" ref="AC40:AC69" si="32">CR40*AD40+DZ40</f>
        <v>154.24117847306445</v>
      </c>
      <c r="AD40" s="15">
        <f t="shared" ref="AD40:AD69" si="33">CS40*AE40+EA40</f>
        <v>147.48409363728663</v>
      </c>
      <c r="AE40" s="15">
        <f t="shared" ref="AE40:AE69" si="34">CT40*AF40+EB40</f>
        <v>140.71805305339086</v>
      </c>
      <c r="AF40" s="15">
        <f t="shared" ref="AF40:AF69" si="35">CU40*AG40+EC40</f>
        <v>133.94414547613019</v>
      </c>
      <c r="AG40" s="15">
        <f t="shared" ref="AG40:AG69" si="36">CV40*AH40+ED40</f>
        <v>127.16354584629576</v>
      </c>
      <c r="AH40" s="15">
        <f t="shared" ref="AH40:AH69" si="37">CW40*AI40+EE40</f>
        <v>120.37750241839083</v>
      </c>
      <c r="AI40" s="15">
        <f t="shared" ref="AI40:AJ55" si="38">CX40*AJ40+EF40</f>
        <v>113.58732308531839</v>
      </c>
      <c r="AJ40" s="15">
        <f t="shared" si="38"/>
        <v>106.79436104987624</v>
      </c>
      <c r="AK40" s="14">
        <f t="shared" ref="AK40:AK69" si="39">$B$17</f>
        <v>100</v>
      </c>
      <c r="AL40" s="33"/>
      <c r="AM40" s="13">
        <v>9.6666666666666679E-2</v>
      </c>
      <c r="AN40" s="17">
        <f t="shared" ref="AN40:AN69" si="40">-($B$12*$B$11)/$B$8*G4</f>
        <v>-1076400000</v>
      </c>
      <c r="AO40" s="18">
        <f>-($B$12*$B$11)/$B$8*H4</f>
        <v>-1052943966.7208073</v>
      </c>
      <c r="AP40" s="18">
        <f t="shared" ref="AP40:AP69" si="41">-($B$12*$B$11)/$B$8*I4</f>
        <v>-1029482850.0047116</v>
      </c>
      <c r="AQ40" s="18">
        <f t="shared" ref="AQ40:AQ69" si="42">-($B$12*$B$11)/$B$8*J4</f>
        <v>-1006011622.1152719</v>
      </c>
      <c r="AR40" s="18">
        <f t="shared" ref="AR40:AR69" si="43">-($B$12*$B$11)/$B$8*K4</f>
        <v>-982525366.10647321</v>
      </c>
      <c r="AS40" s="18">
        <f t="shared" ref="AS40:AS69" si="44">-($B$12*$B$11)/$B$8*L4</f>
        <v>-959019329.69840014</v>
      </c>
      <c r="AT40" s="18">
        <f t="shared" ref="AT40:AT69" si="45">-($B$12*$B$11)/$B$8*M4</f>
        <v>-935488977.34814286</v>
      </c>
      <c r="AU40" s="18">
        <f t="shared" ref="AU40:AU69" si="46">-($B$12*$B$11)/$B$8*N4</f>
        <v>-911930039.94526267</v>
      </c>
      <c r="AV40" s="18">
        <f t="shared" ref="AV40:AV69" si="47">-($B$12*$B$11)/$B$8*O4</f>
        <v>-888338561.58721435</v>
      </c>
      <c r="AW40" s="18">
        <f t="shared" ref="AW40:AW69" si="48">-($B$12*$B$11)/$B$8*P4</f>
        <v>-864710942.92214179</v>
      </c>
      <c r="AX40" s="18">
        <f t="shared" ref="AX40:AX69" si="49">-($B$12*$B$11)/$B$8*Q4</f>
        <v>-841043980.58412874</v>
      </c>
      <c r="AY40" s="18">
        <f t="shared" ref="AY40:AY69" si="50">-($B$12*$B$11)/$B$8*R4</f>
        <v>-817334902.28884768</v>
      </c>
      <c r="AZ40" s="18">
        <f t="shared" ref="AZ40:AZ69" si="51">-($B$12*$B$11)/$B$8*S4</f>
        <v>-793581397.20513344</v>
      </c>
      <c r="BA40" s="18">
        <f t="shared" ref="BA40:BA69" si="52">-($B$12*$B$11)/$B$8*T4</f>
        <v>-769781641.26982319</v>
      </c>
      <c r="BB40" s="18">
        <f t="shared" ref="BB40:BB69" si="53">-($B$12*$B$11)/$B$8*U4</f>
        <v>-745934317.16864109</v>
      </c>
      <c r="BC40" s="18">
        <f t="shared" ref="BC40:BC69" si="54">-($B$12*$B$11)/$B$8*V4</f>
        <v>-722038628.76438677</v>
      </c>
      <c r="BD40" s="18">
        <f t="shared" ref="BD40:BD69" si="55">-($B$12*$B$11)/$B$8*W4</f>
        <v>-698094309.81454766</v>
      </c>
      <c r="BE40" s="18">
        <f t="shared" ref="BE40:BE69" si="56">-($B$12*$B$11)/$B$8*X4</f>
        <v>-674101626.88304555</v>
      </c>
      <c r="BF40" s="18">
        <f t="shared" ref="BF40:BF69" si="57">-($B$12*$B$11)/$B$8*Y4</f>
        <v>-650061376.41444254</v>
      </c>
      <c r="BG40" s="18">
        <f t="shared" ref="BG40:BG69" si="58">-($B$12*$B$11)/$B$8*Z4</f>
        <v>-625974876.00289667</v>
      </c>
      <c r="BH40" s="18">
        <f t="shared" ref="BH40:BH69" si="59">-($B$12*$B$11)/$B$8*AA4</f>
        <v>-601843949.95173991</v>
      </c>
      <c r="BI40" s="18">
        <f t="shared" ref="BI40:BI69" si="60">-($B$12*$B$11)/$B$8*AB4</f>
        <v>-577670909.28209698</v>
      </c>
      <c r="BJ40" s="18">
        <f t="shared" ref="BJ40:BJ69" si="61">-($B$12*$B$11)/$B$8*AC4</f>
        <v>-553458526.40974498</v>
      </c>
      <c r="BK40" s="18">
        <f t="shared" ref="BK40:BK69" si="62">-($B$12*$B$11)/$B$8*AD4</f>
        <v>-529210004.76779294</v>
      </c>
      <c r="BL40" s="18">
        <f t="shared" ref="BL40:BL69" si="63">-($B$12*$B$11)/$B$8*AE4</f>
        <v>-504928943.70809716</v>
      </c>
      <c r="BM40" s="18">
        <f t="shared" ref="BM40:BM69" si="64">-($B$12*$B$11)/$B$8*AF4</f>
        <v>-480619299.06601042</v>
      </c>
      <c r="BN40" s="18">
        <f t="shared" ref="BN40:BN69" si="65">-($B$12*$B$11)/$B$8*AG4</f>
        <v>-456285339.82052118</v>
      </c>
      <c r="BO40" s="18">
        <f t="shared" ref="BO40:BO69" si="66">-($B$12*$B$11)/$B$8*AH4</f>
        <v>-431931601.32458007</v>
      </c>
      <c r="BP40" s="18">
        <f t="shared" ref="BP40:BP69" si="67">-($B$12*$B$11)/$B$8*AI4</f>
        <v>-407562835.61793309</v>
      </c>
      <c r="BQ40" s="18">
        <f t="shared" ref="BQ40:BQ69" si="68">-($B$12*$B$11)/$B$8*AJ4</f>
        <v>-383183959.36671335</v>
      </c>
      <c r="BR40" s="17">
        <f t="shared" ref="BR40:BR69" si="69">-($B$12*$B$11)/$B$8*AK4</f>
        <v>-358800000</v>
      </c>
      <c r="BT40" s="33"/>
      <c r="BU40" s="21">
        <v>9.6666666666666679E-2</v>
      </c>
      <c r="BV40" s="17">
        <v>0</v>
      </c>
      <c r="BW40" s="19">
        <f t="shared" ref="BW40:CY40" si="70">$B$20/($B$21-$B$22*BV40)</f>
        <v>0.34883720930232553</v>
      </c>
      <c r="BX40" s="19">
        <f t="shared" si="70"/>
        <v>0.39716748768472904</v>
      </c>
      <c r="BY40" s="19">
        <f t="shared" si="70"/>
        <v>0.40494040593779607</v>
      </c>
      <c r="BZ40" s="19">
        <f t="shared" si="70"/>
        <v>0.4062190081621499</v>
      </c>
      <c r="CA40" s="19">
        <f t="shared" si="70"/>
        <v>0.40643010492156101</v>
      </c>
      <c r="CB40" s="19">
        <f t="shared" si="70"/>
        <v>0.40646497802255066</v>
      </c>
      <c r="CC40" s="19">
        <f t="shared" si="70"/>
        <v>0.40647073962099717</v>
      </c>
      <c r="CD40" s="19">
        <f t="shared" si="70"/>
        <v>0.40647169154566137</v>
      </c>
      <c r="CE40" s="19">
        <f t="shared" si="70"/>
        <v>0.40647184882198806</v>
      </c>
      <c r="CF40" s="19">
        <f t="shared" si="70"/>
        <v>0.40647187480708435</v>
      </c>
      <c r="CG40" s="19">
        <f t="shared" si="70"/>
        <v>0.40647187910032606</v>
      </c>
      <c r="CH40" s="19">
        <f t="shared" si="70"/>
        <v>0.40647187980965277</v>
      </c>
      <c r="CI40" s="19">
        <f t="shared" si="70"/>
        <v>0.4064718799268473</v>
      </c>
      <c r="CJ40" s="19">
        <f t="shared" si="70"/>
        <v>0.40647187994621015</v>
      </c>
      <c r="CK40" s="19">
        <f t="shared" si="70"/>
        <v>0.40647187994940925</v>
      </c>
      <c r="CL40" s="19">
        <f t="shared" si="70"/>
        <v>0.40647187994993778</v>
      </c>
      <c r="CM40" s="19">
        <f t="shared" si="70"/>
        <v>0.40647187995002515</v>
      </c>
      <c r="CN40" s="19">
        <f t="shared" si="70"/>
        <v>0.40647187995003953</v>
      </c>
      <c r="CO40" s="19">
        <f t="shared" si="70"/>
        <v>0.40647187995004191</v>
      </c>
      <c r="CP40" s="19">
        <f t="shared" si="70"/>
        <v>0.40647187995004236</v>
      </c>
      <c r="CQ40" s="19">
        <f t="shared" si="70"/>
        <v>0.40647187995004236</v>
      </c>
      <c r="CR40" s="19">
        <f t="shared" si="70"/>
        <v>0.40647187995004236</v>
      </c>
      <c r="CS40" s="19">
        <f t="shared" si="70"/>
        <v>0.40647187995004236</v>
      </c>
      <c r="CT40" s="19">
        <f t="shared" si="70"/>
        <v>0.40647187995004236</v>
      </c>
      <c r="CU40" s="19">
        <f t="shared" si="70"/>
        <v>0.40647187995004236</v>
      </c>
      <c r="CV40" s="19">
        <f t="shared" si="70"/>
        <v>0.40647187995004236</v>
      </c>
      <c r="CW40" s="19">
        <f t="shared" si="70"/>
        <v>0.40647187995004236</v>
      </c>
      <c r="CX40" s="19">
        <f t="shared" si="70"/>
        <v>0.40647187995004236</v>
      </c>
      <c r="CY40" s="17">
        <f t="shared" si="70"/>
        <v>0.40647187995004236</v>
      </c>
      <c r="CZ40" s="12">
        <f t="shared" ref="CZ40:CZ69" si="71">$B$17</f>
        <v>100</v>
      </c>
      <c r="DB40" s="33"/>
      <c r="DC40" s="21">
        <v>9.6666666666666679E-2</v>
      </c>
      <c r="DD40" s="17">
        <f t="shared" ref="DD40:DD69" si="72">G4</f>
        <v>300</v>
      </c>
      <c r="DE40" s="19">
        <f t="shared" ref="DE40:DE69" si="73">(DD40*$B$22-AO40)/($B$21-$B$22*BV40)</f>
        <v>193.37242725992647</v>
      </c>
      <c r="DF40" s="19">
        <f t="shared" ref="DF40:DF69" si="74">(DE40*$B$22-AP40)/($B$21-$B$22*BW40)</f>
        <v>175.56382980611193</v>
      </c>
      <c r="DG40" s="19">
        <f t="shared" ref="DG40:DG69" si="75">(DF40*$B$22-AQ40)/($B$21-$B$22*BX40)</f>
        <v>169.4925876974828</v>
      </c>
      <c r="DH40" s="19">
        <f t="shared" ref="DH40:DH69" si="76">(DG40*$B$22-AR40)/($B$21-$B$22*BY40)</f>
        <v>165.25702383968564</v>
      </c>
      <c r="DI40" s="19">
        <f t="shared" ref="DI40:DI69" si="77">(DH40*$B$22-AS40)/($B$21-$B$22*BZ40)</f>
        <v>161.31381765198691</v>
      </c>
      <c r="DJ40" s="19">
        <f t="shared" ref="DJ40:DJ69" si="78">(DI40*$B$22-AT40)/($B$21-$B$22*CA40)</f>
        <v>157.41467498388326</v>
      </c>
      <c r="DK40" s="19">
        <f t="shared" ref="DK40:DK69" si="79">(DJ40*$B$22-AU40)/($B$21-$B$22*CB40)</f>
        <v>153.51897091841877</v>
      </c>
      <c r="DL40" s="19">
        <f t="shared" ref="DL40:DL69" si="80">(DK40*$B$22-AV40)/($B$21-$B$22*CC40)</f>
        <v>149.61958869056244</v>
      </c>
      <c r="DM40" s="19">
        <f t="shared" ref="DM40:DM69" si="81">(DL40*$B$22-AW40)/($B$21-$B$22*CD40)</f>
        <v>145.71485993314647</v>
      </c>
      <c r="DN40" s="19">
        <f t="shared" ref="DN40:DN69" si="82">(DM40*$B$22-AX40)/($B$21-$B$22*CE40)</f>
        <v>141.80404630989221</v>
      </c>
      <c r="DO40" s="19">
        <f t="shared" ref="DO40:DO69" si="83">(DN40*$B$22-AY40)/($B$21-$B$22*CF40)</f>
        <v>137.88661648829498</v>
      </c>
      <c r="DP40" s="19">
        <f t="shared" ref="DP40:DP69" si="84">(DO40*$B$22-AZ40)/($B$21-$B$22*CG40)</f>
        <v>133.96213421037288</v>
      </c>
      <c r="DQ40" s="19">
        <f t="shared" ref="DQ40:DQ69" si="85">(DP40*$B$22-BA40)/($B$21-$B$22*CH40)</f>
        <v>130.03024412090363</v>
      </c>
      <c r="DR40" s="19">
        <f t="shared" ref="DR40:DR69" si="86">(DQ40*$B$22-BB40)/($B$21-$B$22*CI40)</f>
        <v>126.0906726124541</v>
      </c>
      <c r="DS40" s="19">
        <f t="shared" ref="DS40:DS69" si="87">(DR40*$B$22-BC40)/($B$21-$B$22*CJ40)</f>
        <v>122.14323033264604</v>
      </c>
      <c r="DT40" s="19">
        <f t="shared" ref="DT40:DT69" si="88">(DS40*$B$22-BD40)/($B$21-$B$22*CK40)</f>
        <v>118.18781417933691</v>
      </c>
      <c r="DU40" s="19">
        <f t="shared" ref="DU40:DU69" si="89">(DT40*$B$22-BE40)/($B$21-$B$22*CL40)</f>
        <v>114.22440841678539</v>
      </c>
      <c r="DV40" s="19">
        <f t="shared" ref="DV40:DV69" si="90">(DU40*$B$22-BF40)/($B$21-$B$22*CM40)</f>
        <v>110.2530848451801</v>
      </c>
      <c r="DW40" s="19">
        <f t="shared" ref="DW40:DW69" si="91">(DV40*$B$22-BG40)/($B$21-$B$22*CN40)</f>
        <v>106.27400201281711</v>
      </c>
      <c r="DX40" s="19">
        <f t="shared" ref="DX40:DX69" si="92">(DW40*$B$22-BH40)/($B$21-$B$22*CO40)</f>
        <v>102.28740347816799</v>
      </c>
      <c r="DY40" s="19">
        <f t="shared" ref="DY40:DY69" si="93">(DX40*$B$22-BI40)/($B$21-$B$22*CP40)</f>
        <v>98.29361514068583</v>
      </c>
      <c r="DZ40" s="19">
        <f t="shared" ref="DZ40:DZ69" si="94">(DY40*$B$22-BJ40)/($B$21-$B$22*CQ40)</f>
        <v>94.293041669588462</v>
      </c>
      <c r="EA40" s="19">
        <f t="shared" ref="EA40:EA69" si="95">(DZ40*$B$22-BK40)/($B$21-$B$22*CR40)</f>
        <v>90.286162069765055</v>
      </c>
      <c r="EB40" s="19">
        <f t="shared" ref="EB40:EB69" si="96">(EA40*$B$22-BL40)/($B$21-$B$22*CS40)</f>
        <v>86.273524433406266</v>
      </c>
      <c r="EC40" s="19">
        <f t="shared" ref="EC40:EC69" si="97">(EB40*$B$22-BM40)/($B$21-$B$22*CT40)</f>
        <v>82.255739934872935</v>
      </c>
      <c r="ED40" s="19">
        <f t="shared" ref="ED40:ED69" si="98">(EC40*$B$22-BN40)/($B$21-$B$22*CU40)</f>
        <v>78.233476134601659</v>
      </c>
      <c r="EE40" s="19">
        <f t="shared" ref="EE40:EE69" si="99">(ED40*$B$22-BO40)/($B$21-$B$22*CV40)</f>
        <v>74.207449665408618</v>
      </c>
      <c r="EF40" s="19">
        <f t="shared" ref="EF40:EF69" si="100">(EE40*$B$22-BP40)/($B$21-$B$22*CW40)</f>
        <v>70.178418381311616</v>
      </c>
      <c r="EG40" s="19">
        <f t="shared" ref="EG40:EG69" si="101">(EF40*$B$22-BQ40)/($B$21-$B$22*CX40)</f>
        <v>66.147173054872013</v>
      </c>
      <c r="EH40" s="17">
        <f t="shared" ref="EH40:EH69" si="102">(EG40*$B$22-BR40)/($B$21-$B$22*CY40)</f>
        <v>62.11452871399829</v>
      </c>
    </row>
    <row r="41" spans="5:138" x14ac:dyDescent="0.25">
      <c r="E41" s="35"/>
      <c r="F41" s="21">
        <v>9.3333333333333338E-2</v>
      </c>
      <c r="G41" s="14">
        <f t="shared" si="10"/>
        <v>300</v>
      </c>
      <c r="H41" s="15">
        <f t="shared" si="11"/>
        <v>293.46102513365958</v>
      </c>
      <c r="I41" s="15">
        <f t="shared" si="12"/>
        <v>286.92065121729991</v>
      </c>
      <c r="J41" s="15">
        <f t="shared" si="13"/>
        <v>280.37749453058194</v>
      </c>
      <c r="K41" s="15">
        <f t="shared" si="14"/>
        <v>273.83020184451158</v>
      </c>
      <c r="L41" s="15">
        <f t="shared" si="15"/>
        <v>267.27746524891489</v>
      </c>
      <c r="M41" s="15">
        <f t="shared" si="16"/>
        <v>260.71803648321827</v>
      </c>
      <c r="N41" s="15">
        <f t="shared" si="17"/>
        <v>254.15074061347747</v>
      </c>
      <c r="O41" s="15">
        <f t="shared" si="18"/>
        <v>247.57448890577072</v>
      </c>
      <c r="P41" s="15">
        <f t="shared" si="19"/>
        <v>240.98829075488737</v>
      </c>
      <c r="Q41" s="15">
        <f t="shared" si="20"/>
        <v>234.39126453760531</v>
      </c>
      <c r="R41" s="15">
        <f t="shared" si="21"/>
        <v>227.78264727164802</v>
      </c>
      <c r="S41" s="15">
        <f t="shared" si="22"/>
        <v>221.16180297450722</v>
      </c>
      <c r="T41" s="15">
        <f t="shared" si="23"/>
        <v>214.52822963057565</v>
      </c>
      <c r="U41" s="15">
        <f t="shared" si="24"/>
        <v>207.8815646902919</v>
      </c>
      <c r="V41" s="15">
        <f t="shared" si="25"/>
        <v>201.22158904109409</v>
      </c>
      <c r="W41" s="15">
        <f t="shared" si="26"/>
        <v>194.54822940672821</v>
      </c>
      <c r="X41" s="15">
        <f t="shared" si="27"/>
        <v>187.86155914868272</v>
      </c>
      <c r="Y41" s="15">
        <f t="shared" si="28"/>
        <v>181.1617974610287</v>
      </c>
      <c r="Z41" s="15">
        <f t="shared" si="29"/>
        <v>174.44930696754938</v>
      </c>
      <c r="AA41" s="15">
        <f t="shared" si="30"/>
        <v>167.7245897475425</v>
      </c>
      <c r="AB41" s="15">
        <f t="shared" si="31"/>
        <v>160.9882818338917</v>
      </c>
      <c r="AC41" s="15">
        <f t="shared" si="32"/>
        <v>154.24114624373249</v>
      </c>
      <c r="AD41" s="15">
        <f t="shared" si="33"/>
        <v>147.48406461810572</v>
      </c>
      <c r="AE41" s="15">
        <f t="shared" si="34"/>
        <v>140.71802756222235</v>
      </c>
      <c r="AF41" s="15">
        <f t="shared" si="35"/>
        <v>133.94412379218517</v>
      </c>
      <c r="AG41" s="15">
        <f t="shared" si="36"/>
        <v>127.16352820707938</v>
      </c>
      <c r="AH41" s="15">
        <f t="shared" si="37"/>
        <v>120.37748901710312</v>
      </c>
      <c r="AI41" s="15">
        <f t="shared" si="38"/>
        <v>113.58731406874</v>
      </c>
      <c r="AJ41" s="15">
        <f t="shared" ref="AJ41:AJ69" si="103">CY41*AK41+EG41</f>
        <v>106.79435651676243</v>
      </c>
      <c r="AK41" s="14">
        <f t="shared" si="39"/>
        <v>100</v>
      </c>
      <c r="AL41" s="33"/>
      <c r="AM41" s="13">
        <v>9.3333333333333338E-2</v>
      </c>
      <c r="AN41" s="17">
        <f t="shared" si="40"/>
        <v>-1076400000</v>
      </c>
      <c r="AO41" s="18">
        <f t="shared" ref="AO41:AO69" si="104">-($B$12*$B$11)/$B$8*H5</f>
        <v>-1052943950.2466506</v>
      </c>
      <c r="AP41" s="18">
        <f t="shared" si="41"/>
        <v>-1029482817.2369548</v>
      </c>
      <c r="AQ41" s="18">
        <f t="shared" si="42"/>
        <v>-1006011573.4130466</v>
      </c>
      <c r="AR41" s="18">
        <f t="shared" si="43"/>
        <v>-982525302.00354695</v>
      </c>
      <c r="AS41" s="18">
        <f t="shared" si="44"/>
        <v>-959019250.89732063</v>
      </c>
      <c r="AT41" s="18">
        <f t="shared" si="45"/>
        <v>-935488884.71252978</v>
      </c>
      <c r="AU41" s="18">
        <f t="shared" si="46"/>
        <v>-911929934.4903357</v>
      </c>
      <c r="AV41" s="18">
        <f t="shared" si="47"/>
        <v>-888338444.4686569</v>
      </c>
      <c r="AW41" s="18">
        <f t="shared" si="48"/>
        <v>-864710815.42342687</v>
      </c>
      <c r="AX41" s="18">
        <f t="shared" si="49"/>
        <v>-841043844.10244346</v>
      </c>
      <c r="AY41" s="18">
        <f t="shared" si="50"/>
        <v>-817334758.3197726</v>
      </c>
      <c r="AZ41" s="18">
        <f t="shared" si="51"/>
        <v>-793581247.32624602</v>
      </c>
      <c r="BA41" s="18">
        <f t="shared" si="52"/>
        <v>-769781487.12340367</v>
      </c>
      <c r="BB41" s="18">
        <f t="shared" si="53"/>
        <v>-745934160.4436717</v>
      </c>
      <c r="BC41" s="18">
        <f t="shared" si="54"/>
        <v>-722038471.1780411</v>
      </c>
      <c r="BD41" s="18">
        <f t="shared" si="55"/>
        <v>-698094153.09337473</v>
      </c>
      <c r="BE41" s="18">
        <f t="shared" si="56"/>
        <v>-674101472.74405301</v>
      </c>
      <c r="BF41" s="18">
        <f t="shared" si="57"/>
        <v>-650061226.54628813</v>
      </c>
      <c r="BG41" s="18">
        <f t="shared" si="58"/>
        <v>-625974732.04739141</v>
      </c>
      <c r="BH41" s="18">
        <f t="shared" si="59"/>
        <v>-601843813.4858681</v>
      </c>
      <c r="BI41" s="18">
        <f t="shared" si="60"/>
        <v>-577670781.80074847</v>
      </c>
      <c r="BJ41" s="18">
        <f t="shared" si="61"/>
        <v>-553458409.30934775</v>
      </c>
      <c r="BK41" s="18">
        <f t="shared" si="62"/>
        <v>-529209899.33102602</v>
      </c>
      <c r="BL41" s="18">
        <f t="shared" si="63"/>
        <v>-504928851.08985049</v>
      </c>
      <c r="BM41" s="18">
        <f t="shared" si="64"/>
        <v>-480619220.28074443</v>
      </c>
      <c r="BN41" s="18">
        <f t="shared" si="65"/>
        <v>-456285275.73116487</v>
      </c>
      <c r="BO41" s="18">
        <f t="shared" si="66"/>
        <v>-431931552.63308764</v>
      </c>
      <c r="BP41" s="18">
        <f t="shared" si="67"/>
        <v>-407562802.85760307</v>
      </c>
      <c r="BQ41" s="18">
        <f t="shared" si="68"/>
        <v>-383183942.89635307</v>
      </c>
      <c r="BR41" s="17">
        <f t="shared" si="69"/>
        <v>-358800000</v>
      </c>
      <c r="BT41" s="33"/>
      <c r="BU41" s="21">
        <v>9.3333333333333338E-2</v>
      </c>
      <c r="BV41" s="17">
        <v>0</v>
      </c>
      <c r="BW41" s="19">
        <f t="shared" ref="BW41:CY41" si="105">$B$20/($B$21-$B$22*BV41)</f>
        <v>0.34883720930232553</v>
      </c>
      <c r="BX41" s="19">
        <f t="shared" si="105"/>
        <v>0.39716748768472904</v>
      </c>
      <c r="BY41" s="19">
        <f t="shared" si="105"/>
        <v>0.40494040593779607</v>
      </c>
      <c r="BZ41" s="19">
        <f t="shared" si="105"/>
        <v>0.4062190081621499</v>
      </c>
      <c r="CA41" s="19">
        <f t="shared" si="105"/>
        <v>0.40643010492156101</v>
      </c>
      <c r="CB41" s="19">
        <f t="shared" si="105"/>
        <v>0.40646497802255066</v>
      </c>
      <c r="CC41" s="19">
        <f t="shared" si="105"/>
        <v>0.40647073962099717</v>
      </c>
      <c r="CD41" s="19">
        <f t="shared" si="105"/>
        <v>0.40647169154566137</v>
      </c>
      <c r="CE41" s="19">
        <f t="shared" si="105"/>
        <v>0.40647184882198806</v>
      </c>
      <c r="CF41" s="19">
        <f t="shared" si="105"/>
        <v>0.40647187480708435</v>
      </c>
      <c r="CG41" s="19">
        <f t="shared" si="105"/>
        <v>0.40647187910032606</v>
      </c>
      <c r="CH41" s="19">
        <f t="shared" si="105"/>
        <v>0.40647187980965277</v>
      </c>
      <c r="CI41" s="19">
        <f t="shared" si="105"/>
        <v>0.4064718799268473</v>
      </c>
      <c r="CJ41" s="19">
        <f t="shared" si="105"/>
        <v>0.40647187994621015</v>
      </c>
      <c r="CK41" s="19">
        <f t="shared" si="105"/>
        <v>0.40647187994940925</v>
      </c>
      <c r="CL41" s="19">
        <f t="shared" si="105"/>
        <v>0.40647187994993778</v>
      </c>
      <c r="CM41" s="19">
        <f t="shared" si="105"/>
        <v>0.40647187995002515</v>
      </c>
      <c r="CN41" s="19">
        <f t="shared" si="105"/>
        <v>0.40647187995003953</v>
      </c>
      <c r="CO41" s="19">
        <f t="shared" si="105"/>
        <v>0.40647187995004191</v>
      </c>
      <c r="CP41" s="19">
        <f t="shared" si="105"/>
        <v>0.40647187995004236</v>
      </c>
      <c r="CQ41" s="19">
        <f t="shared" si="105"/>
        <v>0.40647187995004236</v>
      </c>
      <c r="CR41" s="19">
        <f t="shared" si="105"/>
        <v>0.40647187995004236</v>
      </c>
      <c r="CS41" s="19">
        <f t="shared" si="105"/>
        <v>0.40647187995004236</v>
      </c>
      <c r="CT41" s="19">
        <f t="shared" si="105"/>
        <v>0.40647187995004236</v>
      </c>
      <c r="CU41" s="19">
        <f t="shared" si="105"/>
        <v>0.40647187995004236</v>
      </c>
      <c r="CV41" s="19">
        <f t="shared" si="105"/>
        <v>0.40647187995004236</v>
      </c>
      <c r="CW41" s="19">
        <f t="shared" si="105"/>
        <v>0.40647187995004236</v>
      </c>
      <c r="CX41" s="19">
        <f t="shared" si="105"/>
        <v>0.40647187995004236</v>
      </c>
      <c r="CY41" s="17">
        <f t="shared" si="105"/>
        <v>0.40647187995004236</v>
      </c>
      <c r="CZ41" s="12">
        <f t="shared" si="71"/>
        <v>100</v>
      </c>
      <c r="DB41" s="33"/>
      <c r="DC41" s="21">
        <v>9.3333333333333338E-2</v>
      </c>
      <c r="DD41" s="17">
        <f t="shared" si="72"/>
        <v>300</v>
      </c>
      <c r="DE41" s="19">
        <f t="shared" si="73"/>
        <v>193.3724258718108</v>
      </c>
      <c r="DF41" s="19">
        <f t="shared" si="74"/>
        <v>175.5638261112498</v>
      </c>
      <c r="DG41" s="19">
        <f t="shared" si="75"/>
        <v>169.49258143763677</v>
      </c>
      <c r="DH41" s="19">
        <f t="shared" si="76"/>
        <v>165.2570150070039</v>
      </c>
      <c r="DI41" s="19">
        <f t="shared" si="77"/>
        <v>161.31380632609714</v>
      </c>
      <c r="DJ41" s="19">
        <f t="shared" si="78"/>
        <v>157.41466128534617</v>
      </c>
      <c r="DK41" s="19">
        <f t="shared" si="79"/>
        <v>153.51895499665847</v>
      </c>
      <c r="DL41" s="19">
        <f t="shared" si="80"/>
        <v>149.61957071993399</v>
      </c>
      <c r="DM41" s="19">
        <f t="shared" si="81"/>
        <v>145.71484011056327</v>
      </c>
      <c r="DN41" s="19">
        <f t="shared" si="82"/>
        <v>141.80402485257775</v>
      </c>
      <c r="DO41" s="19">
        <f t="shared" si="83"/>
        <v>137.88659363138399</v>
      </c>
      <c r="DP41" s="19">
        <f t="shared" si="84"/>
        <v>133.96211020433029</v>
      </c>
      <c r="DQ41" s="19">
        <f t="shared" si="85"/>
        <v>130.03021922877818</v>
      </c>
      <c r="DR41" s="19">
        <f t="shared" si="86"/>
        <v>126.09064710699468</v>
      </c>
      <c r="DS41" s="19">
        <f t="shared" si="87"/>
        <v>122.14320449331231</v>
      </c>
      <c r="DT41" s="19">
        <f t="shared" si="88"/>
        <v>118.18778828923672</v>
      </c>
      <c r="DU41" s="19">
        <f t="shared" si="89"/>
        <v>114.22438275957271</v>
      </c>
      <c r="DV41" s="19">
        <f t="shared" si="90"/>
        <v>110.25305970194739</v>
      </c>
      <c r="DW41" s="19">
        <f t="shared" si="91"/>
        <v>106.27397765901627</v>
      </c>
      <c r="DX41" s="19">
        <f t="shared" si="92"/>
        <v>102.28738018059329</v>
      </c>
      <c r="DY41" s="19">
        <f t="shared" si="93"/>
        <v>98.29359315455234</v>
      </c>
      <c r="DZ41" s="19">
        <f t="shared" si="94"/>
        <v>94.293021235737513</v>
      </c>
      <c r="EA41" s="19">
        <f t="shared" si="95"/>
        <v>90.286143412027343</v>
      </c>
      <c r="EB41" s="19">
        <f t="shared" si="96"/>
        <v>86.273507756151631</v>
      </c>
      <c r="EC41" s="19">
        <f t="shared" si="97"/>
        <v>82.255725420773359</v>
      </c>
      <c r="ED41" s="19">
        <f t="shared" si="98"/>
        <v>78.2334639426319</v>
      </c>
      <c r="EE41" s="19">
        <f t="shared" si="99"/>
        <v>74.207439929106471</v>
      </c>
      <c r="EF41" s="19">
        <f t="shared" si="100"/>
        <v>70.178411207316515</v>
      </c>
      <c r="EG41" s="19">
        <f t="shared" si="101"/>
        <v>66.147168521758203</v>
      </c>
      <c r="EH41" s="17">
        <f t="shared" si="102"/>
        <v>62.114526871415009</v>
      </c>
    </row>
    <row r="42" spans="5:138" x14ac:dyDescent="0.25">
      <c r="E42" s="35"/>
      <c r="F42" s="21">
        <v>9.0000000000000011E-2</v>
      </c>
      <c r="G42" s="14">
        <f t="shared" si="10"/>
        <v>300</v>
      </c>
      <c r="H42" s="15">
        <f t="shared" si="11"/>
        <v>293.46101611858393</v>
      </c>
      <c r="I42" s="15">
        <f t="shared" si="12"/>
        <v>286.92063328595236</v>
      </c>
      <c r="J42" s="15">
        <f t="shared" si="13"/>
        <v>280.37746787948635</v>
      </c>
      <c r="K42" s="15">
        <f t="shared" si="14"/>
        <v>273.83016676575568</v>
      </c>
      <c r="L42" s="15">
        <f t="shared" si="15"/>
        <v>267.27742212694602</v>
      </c>
      <c r="M42" s="15">
        <f t="shared" si="16"/>
        <v>260.71798579062636</v>
      </c>
      <c r="N42" s="15">
        <f t="shared" si="17"/>
        <v>254.15068290581115</v>
      </c>
      <c r="O42" s="15">
        <f t="shared" si="18"/>
        <v>247.57442481544422</v>
      </c>
      <c r="P42" s="15">
        <f t="shared" si="19"/>
        <v>240.98822098424452</v>
      </c>
      <c r="Q42" s="15">
        <f t="shared" si="20"/>
        <v>234.39118985121786</v>
      </c>
      <c r="R42" s="15">
        <f t="shared" si="21"/>
        <v>227.78256848793228</v>
      </c>
      <c r="S42" s="15">
        <f t="shared" si="22"/>
        <v>221.16172095675131</v>
      </c>
      <c r="T42" s="15">
        <f t="shared" si="23"/>
        <v>214.52814527747591</v>
      </c>
      <c r="U42" s="15">
        <f t="shared" si="24"/>
        <v>207.88147892610272</v>
      </c>
      <c r="V42" s="15">
        <f t="shared" si="25"/>
        <v>201.22150280549869</v>
      </c>
      <c r="W42" s="15">
        <f t="shared" si="26"/>
        <v>194.54814364454188</v>
      </c>
      <c r="X42" s="15">
        <f t="shared" si="27"/>
        <v>187.86147479950105</v>
      </c>
      <c r="Y42" s="15">
        <f t="shared" si="28"/>
        <v>181.16171544893487</v>
      </c>
      <c r="Z42" s="15">
        <f t="shared" si="29"/>
        <v>174.4492281909923</v>
      </c>
      <c r="AA42" s="15">
        <f t="shared" si="30"/>
        <v>167.72451506949736</v>
      </c>
      <c r="AB42" s="15">
        <f t="shared" si="31"/>
        <v>160.98821207241022</v>
      </c>
      <c r="AC42" s="15">
        <f t="shared" si="32"/>
        <v>154.24108216298606</v>
      </c>
      <c r="AD42" s="15">
        <f t="shared" si="33"/>
        <v>147.48400692001957</v>
      </c>
      <c r="AE42" s="15">
        <f t="shared" si="34"/>
        <v>140.71797687879186</v>
      </c>
      <c r="AF42" s="15">
        <f t="shared" si="35"/>
        <v>133.94408067855863</v>
      </c>
      <c r="AG42" s="15">
        <f t="shared" si="36"/>
        <v>127.16349313548213</v>
      </c>
      <c r="AH42" s="15">
        <f t="shared" si="37"/>
        <v>120.37746237166965</v>
      </c>
      <c r="AI42" s="15">
        <f t="shared" si="38"/>
        <v>113.58729614131056</v>
      </c>
      <c r="AJ42" s="15">
        <f t="shared" si="103"/>
        <v>106.79434750368955</v>
      </c>
      <c r="AK42" s="14">
        <f t="shared" si="39"/>
        <v>100</v>
      </c>
      <c r="AL42" s="33"/>
      <c r="AM42" s="13">
        <v>9.0000000000000011E-2</v>
      </c>
      <c r="AN42" s="17">
        <f t="shared" si="40"/>
        <v>-1076400000</v>
      </c>
      <c r="AO42" s="18">
        <f t="shared" si="104"/>
        <v>-1052943917.4915111</v>
      </c>
      <c r="AP42" s="18">
        <f t="shared" si="41"/>
        <v>-1029482752.0856717</v>
      </c>
      <c r="AQ42" s="18">
        <f t="shared" si="42"/>
        <v>-1006011476.5796726</v>
      </c>
      <c r="AR42" s="18">
        <f t="shared" si="43"/>
        <v>-982525174.54935849</v>
      </c>
      <c r="AS42" s="18">
        <f t="shared" si="44"/>
        <v>-959019094.21917391</v>
      </c>
      <c r="AT42" s="18">
        <f t="shared" si="45"/>
        <v>-935488700.52753842</v>
      </c>
      <c r="AU42" s="18">
        <f t="shared" si="46"/>
        <v>-911929724.81703424</v>
      </c>
      <c r="AV42" s="18">
        <f t="shared" si="47"/>
        <v>-888338211.60486162</v>
      </c>
      <c r="AW42" s="18">
        <f t="shared" si="48"/>
        <v>-864710561.92103279</v>
      </c>
      <c r="AX42" s="18">
        <f t="shared" si="49"/>
        <v>-841043572.73944151</v>
      </c>
      <c r="AY42" s="18">
        <f t="shared" si="50"/>
        <v>-817334472.06978774</v>
      </c>
      <c r="AZ42" s="18">
        <f t="shared" si="51"/>
        <v>-793580949.32593453</v>
      </c>
      <c r="BA42" s="18">
        <f t="shared" si="52"/>
        <v>-769781180.63806856</v>
      </c>
      <c r="BB42" s="18">
        <f t="shared" si="53"/>
        <v>-745933848.83147252</v>
      </c>
      <c r="BC42" s="18">
        <f t="shared" si="54"/>
        <v>-722038157.85318971</v>
      </c>
      <c r="BD42" s="18">
        <f t="shared" si="55"/>
        <v>-698093841.48872399</v>
      </c>
      <c r="BE42" s="18">
        <f t="shared" si="56"/>
        <v>-674101166.27348495</v>
      </c>
      <c r="BF42" s="18">
        <f t="shared" si="57"/>
        <v>-650060928.56731677</v>
      </c>
      <c r="BG42" s="18">
        <f t="shared" si="58"/>
        <v>-625974445.82438695</v>
      </c>
      <c r="BH42" s="18">
        <f t="shared" si="59"/>
        <v>-601843542.15430808</v>
      </c>
      <c r="BI42" s="18">
        <f t="shared" si="60"/>
        <v>-577670528.33288324</v>
      </c>
      <c r="BJ42" s="18">
        <f t="shared" si="61"/>
        <v>-553458176.48165929</v>
      </c>
      <c r="BK42" s="18">
        <f t="shared" si="62"/>
        <v>-529209689.69383174</v>
      </c>
      <c r="BL42" s="18">
        <f t="shared" si="63"/>
        <v>-504928666.93938816</v>
      </c>
      <c r="BM42" s="18">
        <f t="shared" si="64"/>
        <v>-480619063.63403958</v>
      </c>
      <c r="BN42" s="18">
        <f t="shared" si="65"/>
        <v>-456285148.30395693</v>
      </c>
      <c r="BO42" s="18">
        <f t="shared" si="66"/>
        <v>-431931455.82105386</v>
      </c>
      <c r="BP42" s="18">
        <f t="shared" si="67"/>
        <v>-407562737.72108686</v>
      </c>
      <c r="BQ42" s="18">
        <f t="shared" si="68"/>
        <v>-383183910.14876205</v>
      </c>
      <c r="BR42" s="17">
        <f t="shared" si="69"/>
        <v>-358800000</v>
      </c>
      <c r="BT42" s="33"/>
      <c r="BU42" s="21">
        <v>9.0000000000000011E-2</v>
      </c>
      <c r="BV42" s="17">
        <v>0</v>
      </c>
      <c r="BW42" s="19">
        <f t="shared" ref="BW42:CY42" si="106">$B$20/($B$21-$B$22*BV42)</f>
        <v>0.34883720930232553</v>
      </c>
      <c r="BX42" s="19">
        <f t="shared" si="106"/>
        <v>0.39716748768472904</v>
      </c>
      <c r="BY42" s="19">
        <f t="shared" si="106"/>
        <v>0.40494040593779607</v>
      </c>
      <c r="BZ42" s="19">
        <f t="shared" si="106"/>
        <v>0.4062190081621499</v>
      </c>
      <c r="CA42" s="19">
        <f t="shared" si="106"/>
        <v>0.40643010492156101</v>
      </c>
      <c r="CB42" s="19">
        <f t="shared" si="106"/>
        <v>0.40646497802255066</v>
      </c>
      <c r="CC42" s="19">
        <f t="shared" si="106"/>
        <v>0.40647073962099717</v>
      </c>
      <c r="CD42" s="19">
        <f t="shared" si="106"/>
        <v>0.40647169154566137</v>
      </c>
      <c r="CE42" s="19">
        <f t="shared" si="106"/>
        <v>0.40647184882198806</v>
      </c>
      <c r="CF42" s="19">
        <f t="shared" si="106"/>
        <v>0.40647187480708435</v>
      </c>
      <c r="CG42" s="19">
        <f t="shared" si="106"/>
        <v>0.40647187910032606</v>
      </c>
      <c r="CH42" s="19">
        <f t="shared" si="106"/>
        <v>0.40647187980965277</v>
      </c>
      <c r="CI42" s="19">
        <f t="shared" si="106"/>
        <v>0.4064718799268473</v>
      </c>
      <c r="CJ42" s="19">
        <f t="shared" si="106"/>
        <v>0.40647187994621015</v>
      </c>
      <c r="CK42" s="19">
        <f t="shared" si="106"/>
        <v>0.40647187994940925</v>
      </c>
      <c r="CL42" s="19">
        <f t="shared" si="106"/>
        <v>0.40647187994993778</v>
      </c>
      <c r="CM42" s="19">
        <f t="shared" si="106"/>
        <v>0.40647187995002515</v>
      </c>
      <c r="CN42" s="19">
        <f t="shared" si="106"/>
        <v>0.40647187995003953</v>
      </c>
      <c r="CO42" s="19">
        <f t="shared" si="106"/>
        <v>0.40647187995004191</v>
      </c>
      <c r="CP42" s="19">
        <f t="shared" si="106"/>
        <v>0.40647187995004236</v>
      </c>
      <c r="CQ42" s="19">
        <f t="shared" si="106"/>
        <v>0.40647187995004236</v>
      </c>
      <c r="CR42" s="19">
        <f t="shared" si="106"/>
        <v>0.40647187995004236</v>
      </c>
      <c r="CS42" s="19">
        <f t="shared" si="106"/>
        <v>0.40647187995004236</v>
      </c>
      <c r="CT42" s="19">
        <f t="shared" si="106"/>
        <v>0.40647187995004236</v>
      </c>
      <c r="CU42" s="19">
        <f t="shared" si="106"/>
        <v>0.40647187995004236</v>
      </c>
      <c r="CV42" s="19">
        <f t="shared" si="106"/>
        <v>0.40647187995004236</v>
      </c>
      <c r="CW42" s="19">
        <f t="shared" si="106"/>
        <v>0.40647187995004236</v>
      </c>
      <c r="CX42" s="19">
        <f t="shared" si="106"/>
        <v>0.40647187995004236</v>
      </c>
      <c r="CY42" s="17">
        <f t="shared" si="106"/>
        <v>0.40647187995004236</v>
      </c>
      <c r="CZ42" s="12">
        <f t="shared" si="71"/>
        <v>100</v>
      </c>
      <c r="DB42" s="33"/>
      <c r="DC42" s="21">
        <v>9.0000000000000011E-2</v>
      </c>
      <c r="DD42" s="17">
        <f t="shared" si="72"/>
        <v>300</v>
      </c>
      <c r="DE42" s="19">
        <f t="shared" si="73"/>
        <v>193.37242311185636</v>
      </c>
      <c r="DF42" s="19">
        <f t="shared" si="74"/>
        <v>175.56381876485096</v>
      </c>
      <c r="DG42" s="19">
        <f t="shared" si="75"/>
        <v>169.49256899134684</v>
      </c>
      <c r="DH42" s="19">
        <f t="shared" si="76"/>
        <v>165.2569974452114</v>
      </c>
      <c r="DI42" s="19">
        <f t="shared" si="77"/>
        <v>161.31378380712368</v>
      </c>
      <c r="DJ42" s="19">
        <f t="shared" si="78"/>
        <v>157.41463404889956</v>
      </c>
      <c r="DK42" s="19">
        <f t="shared" si="79"/>
        <v>153.51892333983457</v>
      </c>
      <c r="DL42" s="19">
        <f t="shared" si="80"/>
        <v>149.61953498939869</v>
      </c>
      <c r="DM42" s="19">
        <f t="shared" si="81"/>
        <v>145.71480069783439</v>
      </c>
      <c r="DN42" s="19">
        <f t="shared" si="82"/>
        <v>141.80398218955492</v>
      </c>
      <c r="DO42" s="19">
        <f t="shared" si="83"/>
        <v>137.88654818557961</v>
      </c>
      <c r="DP42" s="19">
        <f t="shared" si="84"/>
        <v>133.96206247373738</v>
      </c>
      <c r="DQ42" s="19">
        <f t="shared" si="85"/>
        <v>130.03016973640965</v>
      </c>
      <c r="DR42" s="19">
        <f t="shared" si="86"/>
        <v>126.09059639515009</v>
      </c>
      <c r="DS42" s="19">
        <f t="shared" si="87"/>
        <v>122.14315311763404</v>
      </c>
      <c r="DT42" s="19">
        <f t="shared" si="88"/>
        <v>118.18773681262081</v>
      </c>
      <c r="DU42" s="19">
        <f t="shared" si="89"/>
        <v>114.22433174600098</v>
      </c>
      <c r="DV42" s="19">
        <f t="shared" si="90"/>
        <v>110.2530097103088</v>
      </c>
      <c r="DW42" s="19">
        <f t="shared" si="91"/>
        <v>106.27392923698456</v>
      </c>
      <c r="DX42" s="19">
        <f t="shared" si="92"/>
        <v>102.28733385862867</v>
      </c>
      <c r="DY42" s="19">
        <f t="shared" si="93"/>
        <v>98.29354944009232</v>
      </c>
      <c r="DZ42" s="19">
        <f t="shared" si="94"/>
        <v>94.292980607640644</v>
      </c>
      <c r="EA42" s="19">
        <f t="shared" si="95"/>
        <v>90.286106315330429</v>
      </c>
      <c r="EB42" s="19">
        <f t="shared" si="96"/>
        <v>86.273474597197975</v>
      </c>
      <c r="EC42" s="19">
        <f t="shared" si="97"/>
        <v>82.255696562764896</v>
      </c>
      <c r="ED42" s="19">
        <f t="shared" si="98"/>
        <v>78.233439701654078</v>
      </c>
      <c r="EE42" s="19">
        <f t="shared" si="99"/>
        <v>74.207420570668958</v>
      </c>
      <c r="EF42" s="19">
        <f t="shared" si="100"/>
        <v>70.178396943447765</v>
      </c>
      <c r="EG42" s="19">
        <f t="shared" si="101"/>
        <v>66.14715950868532</v>
      </c>
      <c r="EH42" s="17">
        <f t="shared" si="102"/>
        <v>62.114523207854319</v>
      </c>
    </row>
    <row r="43" spans="5:138" x14ac:dyDescent="0.25">
      <c r="E43" s="35"/>
      <c r="F43" s="21">
        <v>8.666666666666667E-2</v>
      </c>
      <c r="G43" s="14">
        <f t="shared" si="10"/>
        <v>300</v>
      </c>
      <c r="H43" s="15">
        <f t="shared" si="11"/>
        <v>293.46100272826322</v>
      </c>
      <c r="I43" s="15">
        <f t="shared" si="12"/>
        <v>286.92060665206679</v>
      </c>
      <c r="J43" s="15">
        <f t="shared" si="13"/>
        <v>280.37742829393761</v>
      </c>
      <c r="K43" s="15">
        <f t="shared" si="14"/>
        <v>273.83011466238906</v>
      </c>
      <c r="L43" s="15">
        <f t="shared" si="15"/>
        <v>267.27735807679107</v>
      </c>
      <c r="M43" s="15">
        <f t="shared" si="16"/>
        <v>260.71791049563285</v>
      </c>
      <c r="N43" s="15">
        <f t="shared" si="17"/>
        <v>254.15059719114956</v>
      </c>
      <c r="O43" s="15">
        <f t="shared" si="18"/>
        <v>247.57432962045533</v>
      </c>
      <c r="P43" s="15">
        <f t="shared" si="19"/>
        <v>240.98811735213758</v>
      </c>
      <c r="Q43" s="15">
        <f t="shared" si="20"/>
        <v>234.39107891763069</v>
      </c>
      <c r="R43" s="15">
        <f t="shared" si="21"/>
        <v>227.78245146847939</v>
      </c>
      <c r="S43" s="15">
        <f t="shared" si="22"/>
        <v>221.16159913369643</v>
      </c>
      <c r="T43" s="15">
        <f t="shared" si="23"/>
        <v>214.52801998567566</v>
      </c>
      <c r="U43" s="15">
        <f t="shared" si="24"/>
        <v>207.88135153837555</v>
      </c>
      <c r="V43" s="15">
        <f t="shared" si="25"/>
        <v>201.22137471757986</v>
      </c>
      <c r="W43" s="15">
        <f t="shared" si="26"/>
        <v>194.54801625978948</v>
      </c>
      <c r="X43" s="15">
        <f t="shared" si="27"/>
        <v>187.86134951352039</v>
      </c>
      <c r="Y43" s="15">
        <f t="shared" si="28"/>
        <v>181.16159363429</v>
      </c>
      <c r="Z43" s="15">
        <f t="shared" si="29"/>
        <v>174.44911118217226</v>
      </c>
      <c r="AA43" s="15">
        <f t="shared" si="30"/>
        <v>167.72440414830123</v>
      </c>
      <c r="AB43" s="15">
        <f t="shared" si="31"/>
        <v>160.98810845391094</v>
      </c>
      <c r="AC43" s="15">
        <f t="shared" si="32"/>
        <v>154.24098698222673</v>
      </c>
      <c r="AD43" s="15">
        <f t="shared" si="33"/>
        <v>147.48392121958756</v>
      </c>
      <c r="AE43" s="15">
        <f t="shared" si="34"/>
        <v>140.71790159740598</v>
      </c>
      <c r="AF43" s="15">
        <f t="shared" si="35"/>
        <v>133.94401664079473</v>
      </c>
      <c r="AG43" s="15">
        <f t="shared" si="36"/>
        <v>127.16344104274845</v>
      </c>
      <c r="AH43" s="15">
        <f t="shared" si="37"/>
        <v>120.37742279453096</v>
      </c>
      <c r="AI43" s="15">
        <f t="shared" si="38"/>
        <v>113.58726951324456</v>
      </c>
      <c r="AJ43" s="15">
        <f t="shared" si="103"/>
        <v>106.79433411634363</v>
      </c>
      <c r="AK43" s="14">
        <f t="shared" si="39"/>
        <v>100</v>
      </c>
      <c r="AL43" s="33"/>
      <c r="AM43" s="13">
        <v>8.666666666666667E-2</v>
      </c>
      <c r="AN43" s="17">
        <f t="shared" si="40"/>
        <v>-1076400000</v>
      </c>
      <c r="AO43" s="18">
        <f t="shared" si="104"/>
        <v>-1052943868.8394712</v>
      </c>
      <c r="AP43" s="18">
        <f t="shared" si="41"/>
        <v>-1029482655.314817</v>
      </c>
      <c r="AQ43" s="18">
        <f t="shared" si="42"/>
        <v>-1006011332.7506046</v>
      </c>
      <c r="AR43" s="18">
        <f t="shared" si="43"/>
        <v>-982524985.23841715</v>
      </c>
      <c r="AS43" s="18">
        <f t="shared" si="44"/>
        <v>-959018861.50114596</v>
      </c>
      <c r="AT43" s="18">
        <f t="shared" si="45"/>
        <v>-935488426.95289576</v>
      </c>
      <c r="AU43" s="18">
        <f t="shared" si="46"/>
        <v>-911929413.38395774</v>
      </c>
      <c r="AV43" s="18">
        <f t="shared" si="47"/>
        <v>-888337865.72635543</v>
      </c>
      <c r="AW43" s="18">
        <f t="shared" si="48"/>
        <v>-864710185.38749242</v>
      </c>
      <c r="AX43" s="18">
        <f t="shared" si="49"/>
        <v>-841043169.67708695</v>
      </c>
      <c r="AY43" s="18">
        <f t="shared" si="50"/>
        <v>-817334046.895419</v>
      </c>
      <c r="AZ43" s="18">
        <f t="shared" si="51"/>
        <v>-793580506.69850755</v>
      </c>
      <c r="BA43" s="18">
        <f t="shared" si="52"/>
        <v>-769780725.40762091</v>
      </c>
      <c r="BB43" s="18">
        <f t="shared" si="53"/>
        <v>-745933385.98596334</v>
      </c>
      <c r="BC43" s="18">
        <f t="shared" si="54"/>
        <v>-722037692.46383476</v>
      </c>
      <c r="BD43" s="18">
        <f t="shared" si="55"/>
        <v>-698093378.65442657</v>
      </c>
      <c r="BE43" s="18">
        <f t="shared" si="56"/>
        <v>-674100711.06497073</v>
      </c>
      <c r="BF43" s="18">
        <f t="shared" si="57"/>
        <v>-650060485.97158635</v>
      </c>
      <c r="BG43" s="18">
        <f t="shared" si="58"/>
        <v>-625974020.69009292</v>
      </c>
      <c r="BH43" s="18">
        <f t="shared" si="59"/>
        <v>-601843139.13865447</v>
      </c>
      <c r="BI43" s="18">
        <f t="shared" si="60"/>
        <v>-577670151.85062933</v>
      </c>
      <c r="BJ43" s="18">
        <f t="shared" si="61"/>
        <v>-553457830.65678346</v>
      </c>
      <c r="BK43" s="18">
        <f t="shared" si="62"/>
        <v>-529209378.31438565</v>
      </c>
      <c r="BL43" s="18">
        <f t="shared" si="63"/>
        <v>-504928393.41603196</v>
      </c>
      <c r="BM43" s="18">
        <f t="shared" si="64"/>
        <v>-480618830.96271259</v>
      </c>
      <c r="BN43" s="18">
        <f t="shared" si="65"/>
        <v>-456284959.03309029</v>
      </c>
      <c r="BO43" s="18">
        <f t="shared" si="66"/>
        <v>-431931312.02368253</v>
      </c>
      <c r="BP43" s="18">
        <f t="shared" si="67"/>
        <v>-407562640.97216594</v>
      </c>
      <c r="BQ43" s="18">
        <f t="shared" si="68"/>
        <v>-383183861.5079338</v>
      </c>
      <c r="BR43" s="17">
        <f t="shared" si="69"/>
        <v>-358800000</v>
      </c>
      <c r="BT43" s="33"/>
      <c r="BU43" s="21">
        <v>8.666666666666667E-2</v>
      </c>
      <c r="BV43" s="17">
        <v>0</v>
      </c>
      <c r="BW43" s="19">
        <f t="shared" ref="BW43:CY43" si="107">$B$20/($B$21-$B$22*BV43)</f>
        <v>0.34883720930232553</v>
      </c>
      <c r="BX43" s="19">
        <f t="shared" si="107"/>
        <v>0.39716748768472904</v>
      </c>
      <c r="BY43" s="19">
        <f t="shared" si="107"/>
        <v>0.40494040593779607</v>
      </c>
      <c r="BZ43" s="19">
        <f t="shared" si="107"/>
        <v>0.4062190081621499</v>
      </c>
      <c r="CA43" s="19">
        <f t="shared" si="107"/>
        <v>0.40643010492156101</v>
      </c>
      <c r="CB43" s="19">
        <f t="shared" si="107"/>
        <v>0.40646497802255066</v>
      </c>
      <c r="CC43" s="19">
        <f t="shared" si="107"/>
        <v>0.40647073962099717</v>
      </c>
      <c r="CD43" s="19">
        <f t="shared" si="107"/>
        <v>0.40647169154566137</v>
      </c>
      <c r="CE43" s="19">
        <f t="shared" si="107"/>
        <v>0.40647184882198806</v>
      </c>
      <c r="CF43" s="19">
        <f t="shared" si="107"/>
        <v>0.40647187480708435</v>
      </c>
      <c r="CG43" s="19">
        <f t="shared" si="107"/>
        <v>0.40647187910032606</v>
      </c>
      <c r="CH43" s="19">
        <f t="shared" si="107"/>
        <v>0.40647187980965277</v>
      </c>
      <c r="CI43" s="19">
        <f t="shared" si="107"/>
        <v>0.4064718799268473</v>
      </c>
      <c r="CJ43" s="19">
        <f t="shared" si="107"/>
        <v>0.40647187994621015</v>
      </c>
      <c r="CK43" s="19">
        <f t="shared" si="107"/>
        <v>0.40647187994940925</v>
      </c>
      <c r="CL43" s="19">
        <f t="shared" si="107"/>
        <v>0.40647187994993778</v>
      </c>
      <c r="CM43" s="19">
        <f t="shared" si="107"/>
        <v>0.40647187995002515</v>
      </c>
      <c r="CN43" s="19">
        <f t="shared" si="107"/>
        <v>0.40647187995003953</v>
      </c>
      <c r="CO43" s="19">
        <f t="shared" si="107"/>
        <v>0.40647187995004191</v>
      </c>
      <c r="CP43" s="19">
        <f t="shared" si="107"/>
        <v>0.40647187995004236</v>
      </c>
      <c r="CQ43" s="19">
        <f t="shared" si="107"/>
        <v>0.40647187995004236</v>
      </c>
      <c r="CR43" s="19">
        <f t="shared" si="107"/>
        <v>0.40647187995004236</v>
      </c>
      <c r="CS43" s="19">
        <f t="shared" si="107"/>
        <v>0.40647187995004236</v>
      </c>
      <c r="CT43" s="19">
        <f t="shared" si="107"/>
        <v>0.40647187995004236</v>
      </c>
      <c r="CU43" s="19">
        <f t="shared" si="107"/>
        <v>0.40647187995004236</v>
      </c>
      <c r="CV43" s="19">
        <f t="shared" si="107"/>
        <v>0.40647187995004236</v>
      </c>
      <c r="CW43" s="19">
        <f t="shared" si="107"/>
        <v>0.40647187995004236</v>
      </c>
      <c r="CX43" s="19">
        <f t="shared" si="107"/>
        <v>0.40647187995004236</v>
      </c>
      <c r="CY43" s="17">
        <f t="shared" si="107"/>
        <v>0.40647187995004236</v>
      </c>
      <c r="CZ43" s="12">
        <f t="shared" si="71"/>
        <v>100</v>
      </c>
      <c r="DB43" s="33"/>
      <c r="DC43" s="21">
        <v>8.666666666666667E-2</v>
      </c>
      <c r="DD43" s="17">
        <f t="shared" si="72"/>
        <v>300</v>
      </c>
      <c r="DE43" s="19">
        <f t="shared" si="73"/>
        <v>193.37241901242595</v>
      </c>
      <c r="DF43" s="19">
        <f t="shared" si="74"/>
        <v>175.56380785305831</v>
      </c>
      <c r="DG43" s="19">
        <f t="shared" si="75"/>
        <v>169.49255050455656</v>
      </c>
      <c r="DH43" s="19">
        <f t="shared" si="76"/>
        <v>165.25697136023524</v>
      </c>
      <c r="DI43" s="19">
        <f t="shared" si="77"/>
        <v>161.31375035912089</v>
      </c>
      <c r="DJ43" s="19">
        <f t="shared" si="78"/>
        <v>157.41459359391411</v>
      </c>
      <c r="DK43" s="19">
        <f t="shared" si="79"/>
        <v>153.51887631915054</v>
      </c>
      <c r="DL43" s="19">
        <f t="shared" si="80"/>
        <v>149.61948191792763</v>
      </c>
      <c r="DM43" s="19">
        <f t="shared" si="81"/>
        <v>145.71474215710774</v>
      </c>
      <c r="DN43" s="19">
        <f t="shared" si="82"/>
        <v>141.80391882108418</v>
      </c>
      <c r="DO43" s="19">
        <f t="shared" si="83"/>
        <v>137.88648068377276</v>
      </c>
      <c r="DP43" s="19">
        <f t="shared" si="84"/>
        <v>133.9619915782761</v>
      </c>
      <c r="DQ43" s="19">
        <f t="shared" si="85"/>
        <v>130.03009622413833</v>
      </c>
      <c r="DR43" s="19">
        <f t="shared" si="86"/>
        <v>126.09052107156008</v>
      </c>
      <c r="DS43" s="19">
        <f t="shared" si="87"/>
        <v>122.143076808035</v>
      </c>
      <c r="DT43" s="19">
        <f t="shared" si="88"/>
        <v>118.18766035309652</v>
      </c>
      <c r="DU43" s="19">
        <f t="shared" si="89"/>
        <v>114.22425597424801</v>
      </c>
      <c r="DV43" s="19">
        <f t="shared" si="90"/>
        <v>110.25293545645897</v>
      </c>
      <c r="DW43" s="19">
        <f t="shared" si="91"/>
        <v>106.27385731451166</v>
      </c>
      <c r="DX43" s="19">
        <f t="shared" si="92"/>
        <v>102.28726505543875</v>
      </c>
      <c r="DY43" s="19">
        <f t="shared" si="93"/>
        <v>98.293484509895222</v>
      </c>
      <c r="DZ43" s="19">
        <f t="shared" si="94"/>
        <v>94.292920261697049</v>
      </c>
      <c r="EA43" s="19">
        <f t="shared" si="95"/>
        <v>90.286051214664866</v>
      </c>
      <c r="EB43" s="19">
        <f t="shared" si="96"/>
        <v>86.273425345362398</v>
      </c>
      <c r="EC43" s="19">
        <f t="shared" si="97"/>
        <v>82.255653699232383</v>
      </c>
      <c r="ED43" s="19">
        <f t="shared" si="98"/>
        <v>78.233403695914362</v>
      </c>
      <c r="EE43" s="19">
        <f t="shared" si="99"/>
        <v>74.207391817090311</v>
      </c>
      <c r="EF43" s="19">
        <f t="shared" si="100"/>
        <v>70.178375756961429</v>
      </c>
      <c r="EG43" s="19">
        <f t="shared" si="101"/>
        <v>66.147146121339389</v>
      </c>
      <c r="EH43" s="17">
        <f t="shared" si="102"/>
        <v>62.114517766274659</v>
      </c>
    </row>
    <row r="44" spans="5:138" x14ac:dyDescent="0.25">
      <c r="E44" s="35"/>
      <c r="F44" s="21">
        <v>8.3333333333333343E-2</v>
      </c>
      <c r="G44" s="14">
        <f t="shared" si="10"/>
        <v>300</v>
      </c>
      <c r="H44" s="15">
        <f t="shared" si="11"/>
        <v>293.46098511970973</v>
      </c>
      <c r="I44" s="15">
        <f t="shared" si="12"/>
        <v>286.92057162794686</v>
      </c>
      <c r="J44" s="15">
        <f t="shared" si="13"/>
        <v>280.37737623810818</v>
      </c>
      <c r="K44" s="15">
        <f t="shared" si="14"/>
        <v>273.83004614536577</v>
      </c>
      <c r="L44" s="15">
        <f t="shared" si="15"/>
        <v>267.27727384948969</v>
      </c>
      <c r="M44" s="15">
        <f t="shared" si="16"/>
        <v>260.71781148113206</v>
      </c>
      <c r="N44" s="15">
        <f t="shared" si="17"/>
        <v>254.15048447456607</v>
      </c>
      <c r="O44" s="15">
        <f t="shared" si="18"/>
        <v>247.574204437042</v>
      </c>
      <c r="P44" s="15">
        <f t="shared" si="19"/>
        <v>240.98798107373642</v>
      </c>
      <c r="Q44" s="15">
        <f t="shared" si="20"/>
        <v>234.39093303762945</v>
      </c>
      <c r="R44" s="15">
        <f t="shared" si="21"/>
        <v>227.78229758543671</v>
      </c>
      <c r="S44" s="15">
        <f t="shared" si="22"/>
        <v>221.16143893381604</v>
      </c>
      <c r="T44" s="15">
        <f t="shared" si="23"/>
        <v>214.52785522432211</v>
      </c>
      <c r="U44" s="15">
        <f t="shared" si="24"/>
        <v>207.88118402083396</v>
      </c>
      <c r="V44" s="15">
        <f t="shared" si="25"/>
        <v>201.22120627927154</v>
      </c>
      <c r="W44" s="15">
        <f t="shared" si="26"/>
        <v>194.54784874615973</v>
      </c>
      <c r="X44" s="15">
        <f t="shared" si="27"/>
        <v>187.86118475981959</v>
      </c>
      <c r="Y44" s="15">
        <f t="shared" si="28"/>
        <v>181.1614334454689</v>
      </c>
      <c r="Z44" s="15">
        <f t="shared" si="29"/>
        <v>174.44895731311198</v>
      </c>
      <c r="AA44" s="15">
        <f t="shared" si="30"/>
        <v>167.72425828459444</v>
      </c>
      <c r="AB44" s="15">
        <f t="shared" si="31"/>
        <v>160.98797219340409</v>
      </c>
      <c r="AC44" s="15">
        <f t="shared" si="32"/>
        <v>154.24086181752551</v>
      </c>
      <c r="AD44" s="15">
        <f t="shared" si="33"/>
        <v>147.48380852171618</v>
      </c>
      <c r="AE44" s="15">
        <f t="shared" si="34"/>
        <v>140.71780260079956</v>
      </c>
      <c r="AF44" s="15">
        <f t="shared" si="35"/>
        <v>133.94393242978774</v>
      </c>
      <c r="AG44" s="15">
        <f t="shared" si="36"/>
        <v>127.16337253970752</v>
      </c>
      <c r="AH44" s="15">
        <f t="shared" si="37"/>
        <v>120.37737074976081</v>
      </c>
      <c r="AI44" s="15">
        <f t="shared" si="38"/>
        <v>113.5872344967775</v>
      </c>
      <c r="AJ44" s="15">
        <f t="shared" si="103"/>
        <v>106.79431651170205</v>
      </c>
      <c r="AK44" s="14">
        <f t="shared" si="39"/>
        <v>100</v>
      </c>
      <c r="AL44" s="33"/>
      <c r="AM44" s="13">
        <v>8.3333333333333343E-2</v>
      </c>
      <c r="AN44" s="17">
        <f t="shared" si="40"/>
        <v>-1076400000</v>
      </c>
      <c r="AO44" s="18">
        <f t="shared" si="104"/>
        <v>-1052943804.8610151</v>
      </c>
      <c r="AP44" s="18">
        <f t="shared" si="41"/>
        <v>-1029482528.0591073</v>
      </c>
      <c r="AQ44" s="18">
        <f t="shared" si="42"/>
        <v>-1006011143.6123536</v>
      </c>
      <c r="AR44" s="18">
        <f t="shared" si="43"/>
        <v>-982524736.29054606</v>
      </c>
      <c r="AS44" s="18">
        <f t="shared" si="44"/>
        <v>-959018555.47204232</v>
      </c>
      <c r="AT44" s="18">
        <f t="shared" si="45"/>
        <v>-935488067.19648433</v>
      </c>
      <c r="AU44" s="18">
        <f t="shared" si="46"/>
        <v>-911929003.84290934</v>
      </c>
      <c r="AV44" s="18">
        <f t="shared" si="47"/>
        <v>-888337410.88884211</v>
      </c>
      <c r="AW44" s="18">
        <f t="shared" si="48"/>
        <v>-864709690.23796415</v>
      </c>
      <c r="AX44" s="18">
        <f t="shared" si="49"/>
        <v>-841042639.64160979</v>
      </c>
      <c r="AY44" s="18">
        <f t="shared" si="50"/>
        <v>-817333487.78217816</v>
      </c>
      <c r="AZ44" s="18">
        <f t="shared" si="51"/>
        <v>-793579924.63412762</v>
      </c>
      <c r="BA44" s="18">
        <f t="shared" si="52"/>
        <v>-769780126.77000356</v>
      </c>
      <c r="BB44" s="18">
        <f t="shared" si="53"/>
        <v>-745932777.33437979</v>
      </c>
      <c r="BC44" s="18">
        <f t="shared" si="54"/>
        <v>-722037080.46704066</v>
      </c>
      <c r="BD44" s="18">
        <f t="shared" si="55"/>
        <v>-698092770.01758671</v>
      </c>
      <c r="BE44" s="18">
        <f t="shared" si="56"/>
        <v>-674100112.45619631</v>
      </c>
      <c r="BF44" s="18">
        <f t="shared" si="57"/>
        <v>-650059903.94888818</v>
      </c>
      <c r="BG44" s="18">
        <f t="shared" si="58"/>
        <v>-625973461.62955093</v>
      </c>
      <c r="BH44" s="18">
        <f t="shared" si="59"/>
        <v>-601842609.16459</v>
      </c>
      <c r="BI44" s="18">
        <f t="shared" si="60"/>
        <v>-577669656.76854348</v>
      </c>
      <c r="BJ44" s="18">
        <f t="shared" si="61"/>
        <v>-553457375.88979506</v>
      </c>
      <c r="BK44" s="18">
        <f t="shared" si="62"/>
        <v>-529208968.84386194</v>
      </c>
      <c r="BL44" s="18">
        <f t="shared" si="63"/>
        <v>-504928033.72706306</v>
      </c>
      <c r="BM44" s="18">
        <f t="shared" si="64"/>
        <v>-480618524.99502176</v>
      </c>
      <c r="BN44" s="18">
        <f t="shared" si="65"/>
        <v>-456284710.137918</v>
      </c>
      <c r="BO44" s="18">
        <f t="shared" si="66"/>
        <v>-431931122.92711347</v>
      </c>
      <c r="BP44" s="18">
        <f t="shared" si="67"/>
        <v>-407562513.74529922</v>
      </c>
      <c r="BQ44" s="18">
        <f t="shared" si="68"/>
        <v>-383183797.54422122</v>
      </c>
      <c r="BR44" s="17">
        <f t="shared" si="69"/>
        <v>-358800000</v>
      </c>
      <c r="BT44" s="33"/>
      <c r="BU44" s="21">
        <v>8.3333333333333343E-2</v>
      </c>
      <c r="BV44" s="17">
        <v>0</v>
      </c>
      <c r="BW44" s="19">
        <f t="shared" ref="BW44:CY44" si="108">$B$20/($B$21-$B$22*BV44)</f>
        <v>0.34883720930232553</v>
      </c>
      <c r="BX44" s="19">
        <f t="shared" si="108"/>
        <v>0.39716748768472904</v>
      </c>
      <c r="BY44" s="19">
        <f t="shared" si="108"/>
        <v>0.40494040593779607</v>
      </c>
      <c r="BZ44" s="19">
        <f t="shared" si="108"/>
        <v>0.4062190081621499</v>
      </c>
      <c r="CA44" s="19">
        <f t="shared" si="108"/>
        <v>0.40643010492156101</v>
      </c>
      <c r="CB44" s="19">
        <f t="shared" si="108"/>
        <v>0.40646497802255066</v>
      </c>
      <c r="CC44" s="19">
        <f t="shared" si="108"/>
        <v>0.40647073962099717</v>
      </c>
      <c r="CD44" s="19">
        <f t="shared" si="108"/>
        <v>0.40647169154566137</v>
      </c>
      <c r="CE44" s="19">
        <f t="shared" si="108"/>
        <v>0.40647184882198806</v>
      </c>
      <c r="CF44" s="19">
        <f t="shared" si="108"/>
        <v>0.40647187480708435</v>
      </c>
      <c r="CG44" s="19">
        <f t="shared" si="108"/>
        <v>0.40647187910032606</v>
      </c>
      <c r="CH44" s="19">
        <f t="shared" si="108"/>
        <v>0.40647187980965277</v>
      </c>
      <c r="CI44" s="19">
        <f t="shared" si="108"/>
        <v>0.4064718799268473</v>
      </c>
      <c r="CJ44" s="19">
        <f t="shared" si="108"/>
        <v>0.40647187994621015</v>
      </c>
      <c r="CK44" s="19">
        <f t="shared" si="108"/>
        <v>0.40647187994940925</v>
      </c>
      <c r="CL44" s="19">
        <f t="shared" si="108"/>
        <v>0.40647187994993778</v>
      </c>
      <c r="CM44" s="19">
        <f t="shared" si="108"/>
        <v>0.40647187995002515</v>
      </c>
      <c r="CN44" s="19">
        <f t="shared" si="108"/>
        <v>0.40647187995003953</v>
      </c>
      <c r="CO44" s="19">
        <f t="shared" si="108"/>
        <v>0.40647187995004191</v>
      </c>
      <c r="CP44" s="19">
        <f t="shared" si="108"/>
        <v>0.40647187995004236</v>
      </c>
      <c r="CQ44" s="19">
        <f t="shared" si="108"/>
        <v>0.40647187995004236</v>
      </c>
      <c r="CR44" s="19">
        <f t="shared" si="108"/>
        <v>0.40647187995004236</v>
      </c>
      <c r="CS44" s="19">
        <f t="shared" si="108"/>
        <v>0.40647187995004236</v>
      </c>
      <c r="CT44" s="19">
        <f t="shared" si="108"/>
        <v>0.40647187995004236</v>
      </c>
      <c r="CU44" s="19">
        <f t="shared" si="108"/>
        <v>0.40647187995004236</v>
      </c>
      <c r="CV44" s="19">
        <f t="shared" si="108"/>
        <v>0.40647187995004236</v>
      </c>
      <c r="CW44" s="19">
        <f t="shared" si="108"/>
        <v>0.40647187995004236</v>
      </c>
      <c r="CX44" s="19">
        <f t="shared" si="108"/>
        <v>0.40647187995004236</v>
      </c>
      <c r="CY44" s="17">
        <f t="shared" si="108"/>
        <v>0.40647187995004236</v>
      </c>
      <c r="CZ44" s="12">
        <f t="shared" si="71"/>
        <v>100</v>
      </c>
      <c r="DB44" s="33"/>
      <c r="DC44" s="21">
        <v>8.3333333333333343E-2</v>
      </c>
      <c r="DD44" s="17">
        <f t="shared" si="72"/>
        <v>300</v>
      </c>
      <c r="DE44" s="19">
        <f t="shared" si="73"/>
        <v>193.37241362158875</v>
      </c>
      <c r="DF44" s="19">
        <f t="shared" si="74"/>
        <v>175.56379350382142</v>
      </c>
      <c r="DG44" s="19">
        <f t="shared" si="75"/>
        <v>169.49252619403833</v>
      </c>
      <c r="DH44" s="19">
        <f t="shared" si="76"/>
        <v>165.25693705794274</v>
      </c>
      <c r="DI44" s="19">
        <f t="shared" si="77"/>
        <v>161.31370637429339</v>
      </c>
      <c r="DJ44" s="19">
        <f t="shared" si="78"/>
        <v>157.41454039475695</v>
      </c>
      <c r="DK44" s="19">
        <f t="shared" si="79"/>
        <v>153.51881448596166</v>
      </c>
      <c r="DL44" s="19">
        <f t="shared" si="80"/>
        <v>149.61941212782651</v>
      </c>
      <c r="DM44" s="19">
        <f t="shared" si="81"/>
        <v>145.7146651748204</v>
      </c>
      <c r="DN44" s="19">
        <f t="shared" si="82"/>
        <v>141.80383549021181</v>
      </c>
      <c r="DO44" s="19">
        <f t="shared" si="83"/>
        <v>137.88639191747649</v>
      </c>
      <c r="DP44" s="19">
        <f t="shared" si="84"/>
        <v>133.96189834925281</v>
      </c>
      <c r="DQ44" s="19">
        <f t="shared" si="85"/>
        <v>130.02999955395484</v>
      </c>
      <c r="DR44" s="19">
        <f t="shared" si="86"/>
        <v>126.09042201945431</v>
      </c>
      <c r="DS44" s="19">
        <f t="shared" si="87"/>
        <v>122.14297645930667</v>
      </c>
      <c r="DT44" s="19">
        <f t="shared" si="88"/>
        <v>118.18755980721326</v>
      </c>
      <c r="DU44" s="19">
        <f t="shared" si="89"/>
        <v>114.22415633279849</v>
      </c>
      <c r="DV44" s="19">
        <f t="shared" si="90"/>
        <v>110.25283781108408</v>
      </c>
      <c r="DW44" s="19">
        <f t="shared" si="91"/>
        <v>106.2737627349465</v>
      </c>
      <c r="DX44" s="19">
        <f t="shared" si="92"/>
        <v>102.28717457779632</v>
      </c>
      <c r="DY44" s="19">
        <f t="shared" si="93"/>
        <v>98.293399125319795</v>
      </c>
      <c r="DZ44" s="19">
        <f t="shared" si="94"/>
        <v>94.292840905511468</v>
      </c>
      <c r="EA44" s="19">
        <f t="shared" si="95"/>
        <v>90.285978756130234</v>
      </c>
      <c r="EB44" s="19">
        <f t="shared" si="96"/>
        <v>86.273360578162297</v>
      </c>
      <c r="EC44" s="19">
        <f t="shared" si="97"/>
        <v>82.255597332785229</v>
      </c>
      <c r="ED44" s="19">
        <f t="shared" si="98"/>
        <v>78.233356347609003</v>
      </c>
      <c r="EE44" s="19">
        <f t="shared" si="99"/>
        <v>74.207354005529353</v>
      </c>
      <c r="EF44" s="19">
        <f t="shared" si="100"/>
        <v>70.178347896286112</v>
      </c>
      <c r="EG44" s="19">
        <f t="shared" si="101"/>
        <v>66.147128516697819</v>
      </c>
      <c r="EH44" s="17">
        <f t="shared" si="102"/>
        <v>62.114510610482895</v>
      </c>
    </row>
    <row r="45" spans="5:138" x14ac:dyDescent="0.25">
      <c r="E45" s="35"/>
      <c r="F45" s="21">
        <v>0.08</v>
      </c>
      <c r="G45" s="14">
        <f t="shared" si="10"/>
        <v>300</v>
      </c>
      <c r="H45" s="15">
        <f t="shared" si="11"/>
        <v>293.4609634993966</v>
      </c>
      <c r="I45" s="15">
        <f t="shared" si="12"/>
        <v>286.92052862427602</v>
      </c>
      <c r="J45" s="15">
        <f t="shared" si="13"/>
        <v>280.37731232239071</v>
      </c>
      <c r="K45" s="15">
        <f t="shared" si="14"/>
        <v>273.82996201809789</v>
      </c>
      <c r="L45" s="15">
        <f t="shared" si="15"/>
        <v>267.27717043266847</v>
      </c>
      <c r="M45" s="15">
        <f t="shared" si="16"/>
        <v>260.71768990814149</v>
      </c>
      <c r="N45" s="15">
        <f t="shared" si="17"/>
        <v>254.15034607774507</v>
      </c>
      <c r="O45" s="15">
        <f t="shared" si="18"/>
        <v>247.57405073307123</v>
      </c>
      <c r="P45" s="15">
        <f t="shared" si="19"/>
        <v>240.98781374700502</v>
      </c>
      <c r="Q45" s="15">
        <f t="shared" si="20"/>
        <v>234.3907539217638</v>
      </c>
      <c r="R45" s="15">
        <f t="shared" si="21"/>
        <v>227.7821086431953</v>
      </c>
      <c r="S45" s="15">
        <f t="shared" si="22"/>
        <v>221.16124223557074</v>
      </c>
      <c r="T45" s="15">
        <f t="shared" si="23"/>
        <v>214.52765292536242</v>
      </c>
      <c r="U45" s="15">
        <f t="shared" si="24"/>
        <v>207.8809783377435</v>
      </c>
      <c r="V45" s="15">
        <f t="shared" si="25"/>
        <v>201.22099946563588</v>
      </c>
      <c r="W45" s="15">
        <f t="shared" si="26"/>
        <v>194.5476430678724</v>
      </c>
      <c r="X45" s="15">
        <f t="shared" si="27"/>
        <v>187.86098247025626</v>
      </c>
      <c r="Y45" s="15">
        <f t="shared" si="28"/>
        <v>181.16123676080247</v>
      </c>
      <c r="Z45" s="15">
        <f t="shared" si="29"/>
        <v>174.4487683880385</v>
      </c>
      <c r="AA45" s="15">
        <f t="shared" si="30"/>
        <v>167.72407918873546</v>
      </c>
      <c r="AB45" s="15">
        <f t="shared" si="31"/>
        <v>160.98780488864372</v>
      </c>
      <c r="AC45" s="15">
        <f t="shared" si="32"/>
        <v>154.24070813652992</v>
      </c>
      <c r="AD45" s="15">
        <f t="shared" si="33"/>
        <v>147.48367014787033</v>
      </c>
      <c r="AE45" s="15">
        <f t="shared" si="34"/>
        <v>140.71768104978008</v>
      </c>
      <c r="AF45" s="15">
        <f t="shared" si="35"/>
        <v>133.94382903297327</v>
      </c>
      <c r="AG45" s="15">
        <f t="shared" si="36"/>
        <v>127.16328842960758</v>
      </c>
      <c r="AH45" s="15">
        <f t="shared" si="37"/>
        <v>120.37730684762215</v>
      </c>
      <c r="AI45" s="15">
        <f t="shared" si="38"/>
        <v>113.58719150250299</v>
      </c>
      <c r="AJ45" s="15">
        <f t="shared" si="103"/>
        <v>106.7942948961921</v>
      </c>
      <c r="AK45" s="14">
        <f t="shared" si="39"/>
        <v>100</v>
      </c>
      <c r="AL45" s="33"/>
      <c r="AM45" s="13">
        <v>0.08</v>
      </c>
      <c r="AN45" s="17">
        <f t="shared" si="40"/>
        <v>-1076400000</v>
      </c>
      <c r="AO45" s="18">
        <f t="shared" si="104"/>
        <v>-1052943726.3063366</v>
      </c>
      <c r="AP45" s="18">
        <f t="shared" si="41"/>
        <v>-1029482371.8107084</v>
      </c>
      <c r="AQ45" s="18">
        <f t="shared" si="42"/>
        <v>-1006010911.3827045</v>
      </c>
      <c r="AR45" s="18">
        <f t="shared" si="43"/>
        <v>-982524430.62484097</v>
      </c>
      <c r="AS45" s="18">
        <f t="shared" si="44"/>
        <v>-959018179.72027862</v>
      </c>
      <c r="AT45" s="18">
        <f t="shared" si="45"/>
        <v>-935487625.47671127</v>
      </c>
      <c r="AU45" s="18">
        <f t="shared" si="46"/>
        <v>-911928500.99605739</v>
      </c>
      <c r="AV45" s="18">
        <f t="shared" si="47"/>
        <v>-888336852.42562437</v>
      </c>
      <c r="AW45" s="18">
        <f t="shared" si="48"/>
        <v>-864709082.27843833</v>
      </c>
      <c r="AX45" s="18">
        <f t="shared" si="49"/>
        <v>-841041988.84806371</v>
      </c>
      <c r="AY45" s="18">
        <f t="shared" si="50"/>
        <v>-817332801.28607666</v>
      </c>
      <c r="AZ45" s="18">
        <f t="shared" si="51"/>
        <v>-793579209.95792508</v>
      </c>
      <c r="BA45" s="18">
        <f t="shared" si="52"/>
        <v>-769779391.74468029</v>
      </c>
      <c r="BB45" s="18">
        <f t="shared" si="53"/>
        <v>-745932030.01360679</v>
      </c>
      <c r="BC45" s="18">
        <f t="shared" si="54"/>
        <v>-722036329.03891706</v>
      </c>
      <c r="BD45" s="18">
        <f t="shared" si="55"/>
        <v>-698092022.71491635</v>
      </c>
      <c r="BE45" s="18">
        <f t="shared" si="56"/>
        <v>-674099377.46628714</v>
      </c>
      <c r="BF45" s="18">
        <f t="shared" si="57"/>
        <v>-650059189.32386363</v>
      </c>
      <c r="BG45" s="18">
        <f t="shared" si="58"/>
        <v>-625972775.19815421</v>
      </c>
      <c r="BH45" s="18">
        <f t="shared" si="59"/>
        <v>-601841958.44644773</v>
      </c>
      <c r="BI45" s="18">
        <f t="shared" si="60"/>
        <v>-577669048.8918252</v>
      </c>
      <c r="BJ45" s="18">
        <f t="shared" si="61"/>
        <v>-553456817.51316917</v>
      </c>
      <c r="BK45" s="18">
        <f t="shared" si="62"/>
        <v>-529208466.08360189</v>
      </c>
      <c r="BL45" s="18">
        <f t="shared" si="63"/>
        <v>-504927592.09009749</v>
      </c>
      <c r="BM45" s="18">
        <f t="shared" si="64"/>
        <v>-480618149.31866187</v>
      </c>
      <c r="BN45" s="18">
        <f t="shared" si="65"/>
        <v>-456284404.53691775</v>
      </c>
      <c r="BO45" s="18">
        <f t="shared" si="66"/>
        <v>-431930890.74864209</v>
      </c>
      <c r="BP45" s="18">
        <f t="shared" si="67"/>
        <v>-407562357.53231454</v>
      </c>
      <c r="BQ45" s="18">
        <f t="shared" si="68"/>
        <v>-383183719.00764549</v>
      </c>
      <c r="BR45" s="17">
        <f t="shared" si="69"/>
        <v>-358800000</v>
      </c>
      <c r="BT45" s="33"/>
      <c r="BU45" s="21">
        <v>0.08</v>
      </c>
      <c r="BV45" s="17">
        <v>0</v>
      </c>
      <c r="BW45" s="19">
        <f t="shared" ref="BW45:CY45" si="109">$B$20/($B$21-$B$22*BV45)</f>
        <v>0.34883720930232553</v>
      </c>
      <c r="BX45" s="19">
        <f t="shared" si="109"/>
        <v>0.39716748768472904</v>
      </c>
      <c r="BY45" s="19">
        <f t="shared" si="109"/>
        <v>0.40494040593779607</v>
      </c>
      <c r="BZ45" s="19">
        <f t="shared" si="109"/>
        <v>0.4062190081621499</v>
      </c>
      <c r="CA45" s="19">
        <f t="shared" si="109"/>
        <v>0.40643010492156101</v>
      </c>
      <c r="CB45" s="19">
        <f t="shared" si="109"/>
        <v>0.40646497802255066</v>
      </c>
      <c r="CC45" s="19">
        <f t="shared" si="109"/>
        <v>0.40647073962099717</v>
      </c>
      <c r="CD45" s="19">
        <f t="shared" si="109"/>
        <v>0.40647169154566137</v>
      </c>
      <c r="CE45" s="19">
        <f t="shared" si="109"/>
        <v>0.40647184882198806</v>
      </c>
      <c r="CF45" s="19">
        <f t="shared" si="109"/>
        <v>0.40647187480708435</v>
      </c>
      <c r="CG45" s="19">
        <f t="shared" si="109"/>
        <v>0.40647187910032606</v>
      </c>
      <c r="CH45" s="19">
        <f t="shared" si="109"/>
        <v>0.40647187980965277</v>
      </c>
      <c r="CI45" s="19">
        <f t="shared" si="109"/>
        <v>0.4064718799268473</v>
      </c>
      <c r="CJ45" s="19">
        <f t="shared" si="109"/>
        <v>0.40647187994621015</v>
      </c>
      <c r="CK45" s="19">
        <f t="shared" si="109"/>
        <v>0.40647187994940925</v>
      </c>
      <c r="CL45" s="19">
        <f t="shared" si="109"/>
        <v>0.40647187994993778</v>
      </c>
      <c r="CM45" s="19">
        <f t="shared" si="109"/>
        <v>0.40647187995002515</v>
      </c>
      <c r="CN45" s="19">
        <f t="shared" si="109"/>
        <v>0.40647187995003953</v>
      </c>
      <c r="CO45" s="19">
        <f t="shared" si="109"/>
        <v>0.40647187995004191</v>
      </c>
      <c r="CP45" s="19">
        <f t="shared" si="109"/>
        <v>0.40647187995004236</v>
      </c>
      <c r="CQ45" s="19">
        <f t="shared" si="109"/>
        <v>0.40647187995004236</v>
      </c>
      <c r="CR45" s="19">
        <f t="shared" si="109"/>
        <v>0.40647187995004236</v>
      </c>
      <c r="CS45" s="19">
        <f t="shared" si="109"/>
        <v>0.40647187995004236</v>
      </c>
      <c r="CT45" s="19">
        <f t="shared" si="109"/>
        <v>0.40647187995004236</v>
      </c>
      <c r="CU45" s="19">
        <f t="shared" si="109"/>
        <v>0.40647187995004236</v>
      </c>
      <c r="CV45" s="19">
        <f t="shared" si="109"/>
        <v>0.40647187995004236</v>
      </c>
      <c r="CW45" s="19">
        <f t="shared" si="109"/>
        <v>0.40647187995004236</v>
      </c>
      <c r="CX45" s="19">
        <f t="shared" si="109"/>
        <v>0.40647187995004236</v>
      </c>
      <c r="CY45" s="17">
        <f t="shared" si="109"/>
        <v>0.40647187995004236</v>
      </c>
      <c r="CZ45" s="12">
        <f t="shared" si="71"/>
        <v>100</v>
      </c>
      <c r="DB45" s="33"/>
      <c r="DC45" s="21">
        <v>0.08</v>
      </c>
      <c r="DD45" s="17">
        <f t="shared" si="72"/>
        <v>300</v>
      </c>
      <c r="DE45" s="19">
        <f t="shared" si="73"/>
        <v>193.37240700255617</v>
      </c>
      <c r="DF45" s="19">
        <f t="shared" si="74"/>
        <v>175.5637758853955</v>
      </c>
      <c r="DG45" s="19">
        <f t="shared" si="75"/>
        <v>169.49249634485085</v>
      </c>
      <c r="DH45" s="19">
        <f t="shared" si="76"/>
        <v>165.25689494055339</v>
      </c>
      <c r="DI45" s="19">
        <f t="shared" si="77"/>
        <v>161.31365236839551</v>
      </c>
      <c r="DJ45" s="19">
        <f t="shared" si="78"/>
        <v>157.41447507522722</v>
      </c>
      <c r="DK45" s="19">
        <f t="shared" si="79"/>
        <v>153.51873856530733</v>
      </c>
      <c r="DL45" s="19">
        <f t="shared" si="80"/>
        <v>149.61932643743532</v>
      </c>
      <c r="DM45" s="19">
        <f t="shared" si="81"/>
        <v>145.71457065364604</v>
      </c>
      <c r="DN45" s="19">
        <f t="shared" si="82"/>
        <v>141.80373317405324</v>
      </c>
      <c r="DO45" s="19">
        <f t="shared" si="83"/>
        <v>137.88628292754046</v>
      </c>
      <c r="DP45" s="19">
        <f t="shared" si="84"/>
        <v>133.96178387984594</v>
      </c>
      <c r="DQ45" s="19">
        <f t="shared" si="85"/>
        <v>130.02988085938759</v>
      </c>
      <c r="DR45" s="19">
        <f t="shared" si="86"/>
        <v>126.09030040029111</v>
      </c>
      <c r="DS45" s="19">
        <f t="shared" si="87"/>
        <v>122.14285324811115</v>
      </c>
      <c r="DT45" s="19">
        <f t="shared" si="88"/>
        <v>118.18743635394505</v>
      </c>
      <c r="DU45" s="19">
        <f t="shared" si="89"/>
        <v>114.22403399002127</v>
      </c>
      <c r="DV45" s="19">
        <f t="shared" si="90"/>
        <v>110.25271791914743</v>
      </c>
      <c r="DW45" s="19">
        <f t="shared" si="91"/>
        <v>106.27364660730352</v>
      </c>
      <c r="DX45" s="19">
        <f t="shared" si="92"/>
        <v>102.28706348661781</v>
      </c>
      <c r="DY45" s="19">
        <f t="shared" si="93"/>
        <v>98.293294287562603</v>
      </c>
      <c r="DZ45" s="19">
        <f t="shared" si="94"/>
        <v>94.29274346959312</v>
      </c>
      <c r="EA45" s="19">
        <f t="shared" si="95"/>
        <v>90.285889789355778</v>
      </c>
      <c r="EB45" s="19">
        <f t="shared" si="96"/>
        <v>86.273281055040357</v>
      </c>
      <c r="EC45" s="19">
        <f t="shared" si="97"/>
        <v>82.255528124361192</v>
      </c>
      <c r="ED45" s="19">
        <f t="shared" si="98"/>
        <v>78.233298211931483</v>
      </c>
      <c r="EE45" s="19">
        <f t="shared" si="99"/>
        <v>74.207307579354278</v>
      </c>
      <c r="EF45" s="19">
        <f t="shared" si="100"/>
        <v>70.178313688108574</v>
      </c>
      <c r="EG45" s="19">
        <f t="shared" si="101"/>
        <v>66.147106901187854</v>
      </c>
      <c r="EH45" s="17">
        <f t="shared" si="102"/>
        <v>62.114501824385925</v>
      </c>
    </row>
    <row r="46" spans="5:138" x14ac:dyDescent="0.25">
      <c r="E46" s="35"/>
      <c r="F46" s="21">
        <v>7.6666666666666675E-2</v>
      </c>
      <c r="G46" s="14">
        <f t="shared" si="10"/>
        <v>300</v>
      </c>
      <c r="H46" s="15">
        <f t="shared" si="11"/>
        <v>293.46093812083592</v>
      </c>
      <c r="I46" s="15">
        <f t="shared" si="12"/>
        <v>286.9204781452998</v>
      </c>
      <c r="J46" s="15">
        <f t="shared" si="13"/>
        <v>280.37723729623775</v>
      </c>
      <c r="K46" s="15">
        <f t="shared" si="14"/>
        <v>273.8298632670315</v>
      </c>
      <c r="L46" s="15">
        <f t="shared" si="15"/>
        <v>267.27704903895597</v>
      </c>
      <c r="M46" s="15">
        <f t="shared" si="16"/>
        <v>260.71754720218229</v>
      </c>
      <c r="N46" s="15">
        <f t="shared" si="17"/>
        <v>254.15018362347774</v>
      </c>
      <c r="O46" s="15">
        <f t="shared" si="18"/>
        <v>247.57387031082044</v>
      </c>
      <c r="P46" s="15">
        <f t="shared" si="19"/>
        <v>240.98761733395625</v>
      </c>
      <c r="Q46" s="15">
        <f t="shared" si="20"/>
        <v>234.39054367028183</v>
      </c>
      <c r="R46" s="15">
        <f t="shared" si="21"/>
        <v>227.7818868572239</v>
      </c>
      <c r="S46" s="15">
        <f t="shared" si="22"/>
        <v>221.16101134537342</v>
      </c>
      <c r="T46" s="15">
        <f t="shared" si="23"/>
        <v>214.5274154608814</v>
      </c>
      <c r="U46" s="15">
        <f t="shared" si="24"/>
        <v>207.88073690086998</v>
      </c>
      <c r="V46" s="15">
        <f t="shared" si="25"/>
        <v>201.22075670169511</v>
      </c>
      <c r="W46" s="15">
        <f t="shared" si="26"/>
        <v>194.54740163663689</v>
      </c>
      <c r="X46" s="15">
        <f t="shared" si="27"/>
        <v>187.86074501680486</v>
      </c>
      <c r="Y46" s="15">
        <f t="shared" si="28"/>
        <v>181.16100588654425</v>
      </c>
      <c r="Z46" s="15">
        <f t="shared" si="29"/>
        <v>174.44854662221917</v>
      </c>
      <c r="AA46" s="15">
        <f t="shared" si="30"/>
        <v>167.72386896073772</v>
      </c>
      <c r="AB46" s="15">
        <f t="shared" si="31"/>
        <v>160.98760850138501</v>
      </c>
      <c r="AC46" s="15">
        <f t="shared" si="32"/>
        <v>154.24052774124786</v>
      </c>
      <c r="AD46" s="15">
        <f t="shared" si="33"/>
        <v>147.48350772057177</v>
      </c>
      <c r="AE46" s="15">
        <f t="shared" si="34"/>
        <v>140.71753836961088</v>
      </c>
      <c r="AF46" s="15">
        <f t="shared" si="35"/>
        <v>133.94370766274494</v>
      </c>
      <c r="AG46" s="15">
        <f t="shared" si="36"/>
        <v>127.16318969869323</v>
      </c>
      <c r="AH46" s="15">
        <f t="shared" si="37"/>
        <v>120.37723183740837</v>
      </c>
      <c r="AI46" s="15">
        <f t="shared" si="38"/>
        <v>113.58714103455637</v>
      </c>
      <c r="AJ46" s="15">
        <f t="shared" si="103"/>
        <v>106.79426952326941</v>
      </c>
      <c r="AK46" s="14">
        <f t="shared" si="39"/>
        <v>100</v>
      </c>
      <c r="AL46" s="33"/>
      <c r="AM46" s="13">
        <v>7.6666666666666675E-2</v>
      </c>
      <c r="AN46" s="17">
        <f t="shared" si="40"/>
        <v>-1076400000</v>
      </c>
      <c r="AO46" s="18">
        <f t="shared" si="104"/>
        <v>-1052943634.0965399</v>
      </c>
      <c r="AP46" s="18">
        <f t="shared" si="41"/>
        <v>-1029482188.401733</v>
      </c>
      <c r="AQ46" s="18">
        <f t="shared" si="42"/>
        <v>-1006010638.784698</v>
      </c>
      <c r="AR46" s="18">
        <f t="shared" si="43"/>
        <v>-982524071.82542813</v>
      </c>
      <c r="AS46" s="18">
        <f t="shared" si="44"/>
        <v>-959017738.6517843</v>
      </c>
      <c r="AT46" s="18">
        <f t="shared" si="45"/>
        <v>-935487106.97302353</v>
      </c>
      <c r="AU46" s="18">
        <f t="shared" si="46"/>
        <v>-911927910.73960268</v>
      </c>
      <c r="AV46" s="18">
        <f t="shared" si="47"/>
        <v>-888336196.88504028</v>
      </c>
      <c r="AW46" s="18">
        <f t="shared" si="48"/>
        <v>-864708368.63762915</v>
      </c>
      <c r="AX46" s="18">
        <f t="shared" si="49"/>
        <v>-841041224.92741907</v>
      </c>
      <c r="AY46" s="18">
        <f t="shared" si="50"/>
        <v>-817331995.45672023</v>
      </c>
      <c r="AZ46" s="18">
        <f t="shared" si="51"/>
        <v>-793578371.0499357</v>
      </c>
      <c r="BA46" s="18">
        <f t="shared" si="52"/>
        <v>-769778528.95029306</v>
      </c>
      <c r="BB46" s="18">
        <f t="shared" si="53"/>
        <v>-745931152.78645813</v>
      </c>
      <c r="BC46" s="18">
        <f t="shared" si="54"/>
        <v>-722035446.99043918</v>
      </c>
      <c r="BD46" s="18">
        <f t="shared" si="55"/>
        <v>-698091145.50901699</v>
      </c>
      <c r="BE46" s="18">
        <f t="shared" si="56"/>
        <v>-674098514.71346986</v>
      </c>
      <c r="BF46" s="18">
        <f t="shared" si="57"/>
        <v>-650058350.47594798</v>
      </c>
      <c r="BG46" s="18">
        <f t="shared" si="58"/>
        <v>-625971969.44474983</v>
      </c>
      <c r="BH46" s="18">
        <f t="shared" si="59"/>
        <v>-601841194.61431384</v>
      </c>
      <c r="BI46" s="18">
        <f t="shared" si="60"/>
        <v>-577668335.34821725</v>
      </c>
      <c r="BJ46" s="18">
        <f t="shared" si="61"/>
        <v>-553456162.07422876</v>
      </c>
      <c r="BK46" s="18">
        <f t="shared" si="62"/>
        <v>-529207875.92879075</v>
      </c>
      <c r="BL46" s="18">
        <f t="shared" si="63"/>
        <v>-504927073.68361092</v>
      </c>
      <c r="BM46" s="18">
        <f t="shared" si="64"/>
        <v>-480617708.33867824</v>
      </c>
      <c r="BN46" s="18">
        <f t="shared" si="65"/>
        <v>-456284045.81345671</v>
      </c>
      <c r="BO46" s="18">
        <f t="shared" si="66"/>
        <v>-431930618.21070933</v>
      </c>
      <c r="BP46" s="18">
        <f t="shared" si="67"/>
        <v>-407562174.16490901</v>
      </c>
      <c r="BQ46" s="18">
        <f t="shared" si="68"/>
        <v>-383183626.81909817</v>
      </c>
      <c r="BR46" s="17">
        <f t="shared" si="69"/>
        <v>-358800000</v>
      </c>
      <c r="BT46" s="33"/>
      <c r="BU46" s="21">
        <v>7.6666666666666675E-2</v>
      </c>
      <c r="BV46" s="17">
        <v>0</v>
      </c>
      <c r="BW46" s="19">
        <f t="shared" ref="BW46:CY46" si="110">$B$20/($B$21-$B$22*BV46)</f>
        <v>0.34883720930232553</v>
      </c>
      <c r="BX46" s="19">
        <f t="shared" si="110"/>
        <v>0.39716748768472904</v>
      </c>
      <c r="BY46" s="19">
        <f t="shared" si="110"/>
        <v>0.40494040593779607</v>
      </c>
      <c r="BZ46" s="19">
        <f t="shared" si="110"/>
        <v>0.4062190081621499</v>
      </c>
      <c r="CA46" s="19">
        <f t="shared" si="110"/>
        <v>0.40643010492156101</v>
      </c>
      <c r="CB46" s="19">
        <f t="shared" si="110"/>
        <v>0.40646497802255066</v>
      </c>
      <c r="CC46" s="19">
        <f t="shared" si="110"/>
        <v>0.40647073962099717</v>
      </c>
      <c r="CD46" s="19">
        <f t="shared" si="110"/>
        <v>0.40647169154566137</v>
      </c>
      <c r="CE46" s="19">
        <f t="shared" si="110"/>
        <v>0.40647184882198806</v>
      </c>
      <c r="CF46" s="19">
        <f t="shared" si="110"/>
        <v>0.40647187480708435</v>
      </c>
      <c r="CG46" s="19">
        <f t="shared" si="110"/>
        <v>0.40647187910032606</v>
      </c>
      <c r="CH46" s="19">
        <f t="shared" si="110"/>
        <v>0.40647187980965277</v>
      </c>
      <c r="CI46" s="19">
        <f t="shared" si="110"/>
        <v>0.4064718799268473</v>
      </c>
      <c r="CJ46" s="19">
        <f t="shared" si="110"/>
        <v>0.40647187994621015</v>
      </c>
      <c r="CK46" s="19">
        <f t="shared" si="110"/>
        <v>0.40647187994940925</v>
      </c>
      <c r="CL46" s="19">
        <f t="shared" si="110"/>
        <v>0.40647187994993778</v>
      </c>
      <c r="CM46" s="19">
        <f t="shared" si="110"/>
        <v>0.40647187995002515</v>
      </c>
      <c r="CN46" s="19">
        <f t="shared" si="110"/>
        <v>0.40647187995003953</v>
      </c>
      <c r="CO46" s="19">
        <f t="shared" si="110"/>
        <v>0.40647187995004191</v>
      </c>
      <c r="CP46" s="19">
        <f t="shared" si="110"/>
        <v>0.40647187995004236</v>
      </c>
      <c r="CQ46" s="19">
        <f t="shared" si="110"/>
        <v>0.40647187995004236</v>
      </c>
      <c r="CR46" s="19">
        <f t="shared" si="110"/>
        <v>0.40647187995004236</v>
      </c>
      <c r="CS46" s="19">
        <f t="shared" si="110"/>
        <v>0.40647187995004236</v>
      </c>
      <c r="CT46" s="19">
        <f t="shared" si="110"/>
        <v>0.40647187995004236</v>
      </c>
      <c r="CU46" s="19">
        <f t="shared" si="110"/>
        <v>0.40647187995004236</v>
      </c>
      <c r="CV46" s="19">
        <f t="shared" si="110"/>
        <v>0.40647187995004236</v>
      </c>
      <c r="CW46" s="19">
        <f t="shared" si="110"/>
        <v>0.40647187995004236</v>
      </c>
      <c r="CX46" s="19">
        <f t="shared" si="110"/>
        <v>0.40647187995004236</v>
      </c>
      <c r="CY46" s="17">
        <f t="shared" si="110"/>
        <v>0.40647187995004236</v>
      </c>
      <c r="CZ46" s="12">
        <f t="shared" si="71"/>
        <v>100</v>
      </c>
      <c r="DB46" s="33"/>
      <c r="DC46" s="21">
        <v>7.6666666666666675E-2</v>
      </c>
      <c r="DD46" s="17">
        <f t="shared" si="72"/>
        <v>300</v>
      </c>
      <c r="DE46" s="19">
        <f t="shared" si="73"/>
        <v>193.37239923294067</v>
      </c>
      <c r="DF46" s="19">
        <f t="shared" si="74"/>
        <v>175.56375520436794</v>
      </c>
      <c r="DG46" s="19">
        <f t="shared" si="75"/>
        <v>169.49246130699481</v>
      </c>
      <c r="DH46" s="19">
        <f t="shared" si="76"/>
        <v>165.25684550192051</v>
      </c>
      <c r="DI46" s="19">
        <f t="shared" si="77"/>
        <v>161.31358897468098</v>
      </c>
      <c r="DJ46" s="19">
        <f t="shared" si="78"/>
        <v>157.41439840123817</v>
      </c>
      <c r="DK46" s="19">
        <f t="shared" si="79"/>
        <v>153.51864944740575</v>
      </c>
      <c r="DL46" s="19">
        <f t="shared" si="80"/>
        <v>149.61922585152871</v>
      </c>
      <c r="DM46" s="19">
        <f t="shared" si="81"/>
        <v>145.71445970190587</v>
      </c>
      <c r="DN46" s="19">
        <f t="shared" si="82"/>
        <v>141.80361307233085</v>
      </c>
      <c r="DO46" s="19">
        <f t="shared" si="83"/>
        <v>137.88615499194142</v>
      </c>
      <c r="DP46" s="19">
        <f t="shared" si="84"/>
        <v>133.96164951228258</v>
      </c>
      <c r="DQ46" s="19">
        <f t="shared" si="85"/>
        <v>130.02974153220646</v>
      </c>
      <c r="DR46" s="19">
        <f t="shared" si="86"/>
        <v>126.09015764013299</v>
      </c>
      <c r="DS46" s="19">
        <f t="shared" si="87"/>
        <v>122.14270861917855</v>
      </c>
      <c r="DT46" s="19">
        <f t="shared" si="88"/>
        <v>118.18729144086034</v>
      </c>
      <c r="DU46" s="19">
        <f t="shared" si="89"/>
        <v>114.22389038046364</v>
      </c>
      <c r="DV46" s="19">
        <f t="shared" si="90"/>
        <v>110.25257718645871</v>
      </c>
      <c r="DW46" s="19">
        <f t="shared" si="91"/>
        <v>106.27351029325364</v>
      </c>
      <c r="DX46" s="19">
        <f t="shared" si="92"/>
        <v>102.28693308451834</v>
      </c>
      <c r="DY46" s="19">
        <f t="shared" si="93"/>
        <v>98.293171225913341</v>
      </c>
      <c r="DZ46" s="19">
        <f t="shared" si="94"/>
        <v>94.292629096440464</v>
      </c>
      <c r="EA46" s="19">
        <f t="shared" si="95"/>
        <v>90.285785357533811</v>
      </c>
      <c r="EB46" s="19">
        <f t="shared" si="96"/>
        <v>86.273187708456049</v>
      </c>
      <c r="EC46" s="19">
        <f t="shared" si="97"/>
        <v>82.255446885473248</v>
      </c>
      <c r="ED46" s="19">
        <f t="shared" si="98"/>
        <v>78.233229970559762</v>
      </c>
      <c r="EE46" s="19">
        <f t="shared" si="99"/>
        <v>74.207253082941648</v>
      </c>
      <c r="EF46" s="19">
        <f t="shared" si="100"/>
        <v>70.178273533541528</v>
      </c>
      <c r="EG46" s="19">
        <f t="shared" si="101"/>
        <v>66.147081528265176</v>
      </c>
      <c r="EH46" s="17">
        <f t="shared" si="102"/>
        <v>62.114491511006356</v>
      </c>
    </row>
    <row r="47" spans="5:138" x14ac:dyDescent="0.25">
      <c r="E47" s="35"/>
      <c r="F47" s="21">
        <v>7.3333333333333334E-2</v>
      </c>
      <c r="G47" s="14">
        <f t="shared" si="10"/>
        <v>300</v>
      </c>
      <c r="H47" s="15">
        <f t="shared" si="11"/>
        <v>293.4609092816047</v>
      </c>
      <c r="I47" s="15">
        <f t="shared" si="12"/>
        <v>286.92042078291092</v>
      </c>
      <c r="J47" s="15">
        <f t="shared" si="13"/>
        <v>280.3771520393708</v>
      </c>
      <c r="K47" s="15">
        <f t="shared" si="14"/>
        <v>273.82975105007512</v>
      </c>
      <c r="L47" s="15">
        <f t="shared" si="15"/>
        <v>267.2769110917576</v>
      </c>
      <c r="M47" s="15">
        <f t="shared" si="16"/>
        <v>260.71738503655729</v>
      </c>
      <c r="N47" s="15">
        <f t="shared" si="17"/>
        <v>254.14999901662651</v>
      </c>
      <c r="O47" s="15">
        <f t="shared" si="18"/>
        <v>247.57366528583597</v>
      </c>
      <c r="P47" s="15">
        <f t="shared" si="19"/>
        <v>240.98739413763707</v>
      </c>
      <c r="Q47" s="15">
        <f t="shared" si="20"/>
        <v>234.39030474849341</v>
      </c>
      <c r="R47" s="15">
        <f t="shared" si="21"/>
        <v>227.78163482808029</v>
      </c>
      <c r="S47" s="15">
        <f t="shared" si="22"/>
        <v>221.16074897053363</v>
      </c>
      <c r="T47" s="15">
        <f t="shared" si="23"/>
        <v>214.52714561527569</v>
      </c>
      <c r="U47" s="15">
        <f t="shared" si="24"/>
        <v>207.88046254118848</v>
      </c>
      <c r="V47" s="15">
        <f t="shared" si="25"/>
        <v>201.22048083398482</v>
      </c>
      <c r="W47" s="15">
        <f t="shared" si="26"/>
        <v>194.54712728336219</v>
      </c>
      <c r="X47" s="15">
        <f t="shared" si="27"/>
        <v>187.86047518373266</v>
      </c>
      <c r="Y47" s="15">
        <f t="shared" si="28"/>
        <v>181.16074352981701</v>
      </c>
      <c r="Z47" s="15">
        <f t="shared" si="29"/>
        <v>174.44829461597544</v>
      </c>
      <c r="AA47" s="15">
        <f t="shared" si="30"/>
        <v>167.72363006563569</v>
      </c>
      <c r="AB47" s="15">
        <f t="shared" si="31"/>
        <v>160.98738533437248</v>
      </c>
      <c r="AC47" s="15">
        <f t="shared" si="32"/>
        <v>154.24032274690941</v>
      </c>
      <c r="AD47" s="15">
        <f t="shared" si="33"/>
        <v>147.48332314436647</v>
      </c>
      <c r="AE47" s="15">
        <f t="shared" si="34"/>
        <v>140.71737623329247</v>
      </c>
      <c r="AF47" s="15">
        <f t="shared" si="35"/>
        <v>133.94356974223297</v>
      </c>
      <c r="AG47" s="15">
        <f t="shared" si="36"/>
        <v>127.1630775046367</v>
      </c>
      <c r="AH47" s="15">
        <f t="shared" si="37"/>
        <v>120.37714659865389</v>
      </c>
      <c r="AI47" s="15">
        <f t="shared" si="38"/>
        <v>113.587083684701</v>
      </c>
      <c r="AJ47" s="15">
        <f t="shared" si="103"/>
        <v>106.79424069044495</v>
      </c>
      <c r="AK47" s="14">
        <f t="shared" si="39"/>
        <v>100</v>
      </c>
      <c r="AL47" s="33"/>
      <c r="AM47" s="13">
        <v>7.3333333333333334E-2</v>
      </c>
      <c r="AN47" s="17">
        <f t="shared" si="40"/>
        <v>-1076400000</v>
      </c>
      <c r="AO47" s="18">
        <f t="shared" si="104"/>
        <v>-1052943529.3128337</v>
      </c>
      <c r="AP47" s="18">
        <f t="shared" si="41"/>
        <v>-1029481979.9827483</v>
      </c>
      <c r="AQ47" s="18">
        <f t="shared" si="42"/>
        <v>-1006010329.0146903</v>
      </c>
      <c r="AR47" s="18">
        <f t="shared" si="43"/>
        <v>-982523664.09942019</v>
      </c>
      <c r="AS47" s="18">
        <f t="shared" si="44"/>
        <v>-959017237.43832111</v>
      </c>
      <c r="AT47" s="18">
        <f t="shared" si="45"/>
        <v>-935486517.76515126</v>
      </c>
      <c r="AU47" s="18">
        <f t="shared" si="46"/>
        <v>-911927239.99461484</v>
      </c>
      <c r="AV47" s="18">
        <f t="shared" si="47"/>
        <v>-888335451.95365059</v>
      </c>
      <c r="AW47" s="18">
        <f t="shared" si="48"/>
        <v>-864707557.68335307</v>
      </c>
      <c r="AX47" s="18">
        <f t="shared" si="49"/>
        <v>-841040356.83704996</v>
      </c>
      <c r="AY47" s="18">
        <f t="shared" si="50"/>
        <v>-817331079.74288476</v>
      </c>
      <c r="AZ47" s="18">
        <f t="shared" si="51"/>
        <v>-793577417.74679935</v>
      </c>
      <c r="BA47" s="18">
        <f t="shared" si="52"/>
        <v>-769777548.50356257</v>
      </c>
      <c r="BB47" s="18">
        <f t="shared" si="53"/>
        <v>-745930155.93888628</v>
      </c>
      <c r="BC47" s="18">
        <f t="shared" si="54"/>
        <v>-722034444.66409218</v>
      </c>
      <c r="BD47" s="18">
        <f t="shared" si="55"/>
        <v>-698090148.68559194</v>
      </c>
      <c r="BE47" s="18">
        <f t="shared" si="56"/>
        <v>-674097534.31397736</v>
      </c>
      <c r="BF47" s="18">
        <f t="shared" si="57"/>
        <v>-650057397.24107659</v>
      </c>
      <c r="BG47" s="18">
        <f t="shared" si="58"/>
        <v>-625971053.8172226</v>
      </c>
      <c r="BH47" s="18">
        <f t="shared" si="59"/>
        <v>-601840326.624524</v>
      </c>
      <c r="BI47" s="18">
        <f t="shared" si="60"/>
        <v>-577667524.50439596</v>
      </c>
      <c r="BJ47" s="18">
        <f t="shared" si="61"/>
        <v>-553455417.25834191</v>
      </c>
      <c r="BK47" s="18">
        <f t="shared" si="62"/>
        <v>-529207205.29930568</v>
      </c>
      <c r="BL47" s="18">
        <f t="shared" si="63"/>
        <v>-504926484.58619338</v>
      </c>
      <c r="BM47" s="18">
        <f t="shared" si="64"/>
        <v>-480617207.22579426</v>
      </c>
      <c r="BN47" s="18">
        <f t="shared" si="65"/>
        <v>-456283638.17375702</v>
      </c>
      <c r="BO47" s="18">
        <f t="shared" si="66"/>
        <v>-431930308.50896651</v>
      </c>
      <c r="BP47" s="18">
        <f t="shared" si="67"/>
        <v>-407561965.79316235</v>
      </c>
      <c r="BQ47" s="18">
        <f t="shared" si="68"/>
        <v>-383183522.05953872</v>
      </c>
      <c r="BR47" s="17">
        <f t="shared" si="69"/>
        <v>-358800000</v>
      </c>
      <c r="BT47" s="33"/>
      <c r="BU47" s="21">
        <v>7.3333333333333334E-2</v>
      </c>
      <c r="BV47" s="17">
        <v>0</v>
      </c>
      <c r="BW47" s="19">
        <f t="shared" ref="BW47:CY47" si="111">$B$20/($B$21-$B$22*BV47)</f>
        <v>0.34883720930232553</v>
      </c>
      <c r="BX47" s="19">
        <f t="shared" si="111"/>
        <v>0.39716748768472904</v>
      </c>
      <c r="BY47" s="19">
        <f t="shared" si="111"/>
        <v>0.40494040593779607</v>
      </c>
      <c r="BZ47" s="19">
        <f t="shared" si="111"/>
        <v>0.4062190081621499</v>
      </c>
      <c r="CA47" s="19">
        <f t="shared" si="111"/>
        <v>0.40643010492156101</v>
      </c>
      <c r="CB47" s="19">
        <f t="shared" si="111"/>
        <v>0.40646497802255066</v>
      </c>
      <c r="CC47" s="19">
        <f t="shared" si="111"/>
        <v>0.40647073962099717</v>
      </c>
      <c r="CD47" s="19">
        <f t="shared" si="111"/>
        <v>0.40647169154566137</v>
      </c>
      <c r="CE47" s="19">
        <f t="shared" si="111"/>
        <v>0.40647184882198806</v>
      </c>
      <c r="CF47" s="19">
        <f t="shared" si="111"/>
        <v>0.40647187480708435</v>
      </c>
      <c r="CG47" s="19">
        <f t="shared" si="111"/>
        <v>0.40647187910032606</v>
      </c>
      <c r="CH47" s="19">
        <f t="shared" si="111"/>
        <v>0.40647187980965277</v>
      </c>
      <c r="CI47" s="19">
        <f t="shared" si="111"/>
        <v>0.4064718799268473</v>
      </c>
      <c r="CJ47" s="19">
        <f t="shared" si="111"/>
        <v>0.40647187994621015</v>
      </c>
      <c r="CK47" s="19">
        <f t="shared" si="111"/>
        <v>0.40647187994940925</v>
      </c>
      <c r="CL47" s="19">
        <f t="shared" si="111"/>
        <v>0.40647187994993778</v>
      </c>
      <c r="CM47" s="19">
        <f t="shared" si="111"/>
        <v>0.40647187995002515</v>
      </c>
      <c r="CN47" s="19">
        <f t="shared" si="111"/>
        <v>0.40647187995003953</v>
      </c>
      <c r="CO47" s="19">
        <f t="shared" si="111"/>
        <v>0.40647187995004191</v>
      </c>
      <c r="CP47" s="19">
        <f t="shared" si="111"/>
        <v>0.40647187995004236</v>
      </c>
      <c r="CQ47" s="19">
        <f t="shared" si="111"/>
        <v>0.40647187995004236</v>
      </c>
      <c r="CR47" s="19">
        <f t="shared" si="111"/>
        <v>0.40647187995004236</v>
      </c>
      <c r="CS47" s="19">
        <f t="shared" si="111"/>
        <v>0.40647187995004236</v>
      </c>
      <c r="CT47" s="19">
        <f t="shared" si="111"/>
        <v>0.40647187995004236</v>
      </c>
      <c r="CU47" s="19">
        <f t="shared" si="111"/>
        <v>0.40647187995004236</v>
      </c>
      <c r="CV47" s="19">
        <f t="shared" si="111"/>
        <v>0.40647187995004236</v>
      </c>
      <c r="CW47" s="19">
        <f t="shared" si="111"/>
        <v>0.40647187995004236</v>
      </c>
      <c r="CX47" s="19">
        <f t="shared" si="111"/>
        <v>0.40647187995004236</v>
      </c>
      <c r="CY47" s="17">
        <f t="shared" si="111"/>
        <v>0.40647187995004236</v>
      </c>
      <c r="CZ47" s="12">
        <f t="shared" si="71"/>
        <v>100</v>
      </c>
      <c r="DB47" s="33"/>
      <c r="DC47" s="21">
        <v>7.3333333333333334E-2</v>
      </c>
      <c r="DD47" s="17">
        <f t="shared" si="72"/>
        <v>300</v>
      </c>
      <c r="DE47" s="19">
        <f t="shared" si="73"/>
        <v>193.37239040384509</v>
      </c>
      <c r="DF47" s="19">
        <f t="shared" si="74"/>
        <v>175.56373170323474</v>
      </c>
      <c r="DG47" s="19">
        <f t="shared" si="75"/>
        <v>169.49242149130774</v>
      </c>
      <c r="DH47" s="19">
        <f t="shared" si="76"/>
        <v>165.25678932173824</v>
      </c>
      <c r="DI47" s="19">
        <f t="shared" si="77"/>
        <v>161.3135169364746</v>
      </c>
      <c r="DJ47" s="19">
        <f t="shared" si="78"/>
        <v>157.4143112718329</v>
      </c>
      <c r="DK47" s="19">
        <f t="shared" si="79"/>
        <v>153.51854817721156</v>
      </c>
      <c r="DL47" s="19">
        <f t="shared" si="80"/>
        <v>149.61911154952963</v>
      </c>
      <c r="DM47" s="19">
        <f t="shared" si="81"/>
        <v>145.71433362056774</v>
      </c>
      <c r="DN47" s="19">
        <f t="shared" si="82"/>
        <v>141.80347659330096</v>
      </c>
      <c r="DO47" s="19">
        <f t="shared" si="83"/>
        <v>137.88600961079197</v>
      </c>
      <c r="DP47" s="19">
        <f t="shared" si="84"/>
        <v>133.96149682209341</v>
      </c>
      <c r="DQ47" s="19">
        <f t="shared" si="85"/>
        <v>130.02958320609625</v>
      </c>
      <c r="DR47" s="19">
        <f t="shared" si="86"/>
        <v>126.08999541291831</v>
      </c>
      <c r="DS47" s="19">
        <f t="shared" si="87"/>
        <v>122.1425442683596</v>
      </c>
      <c r="DT47" s="19">
        <f t="shared" si="88"/>
        <v>118.18712676714173</v>
      </c>
      <c r="DU47" s="19">
        <f t="shared" si="89"/>
        <v>114.22372718802359</v>
      </c>
      <c r="DV47" s="19">
        <f t="shared" si="90"/>
        <v>110.2524172631831</v>
      </c>
      <c r="DW47" s="19">
        <f t="shared" si="91"/>
        <v>106.27335539115114</v>
      </c>
      <c r="DX47" s="19">
        <f t="shared" si="92"/>
        <v>102.28678490053144</v>
      </c>
      <c r="DY47" s="19">
        <f t="shared" si="93"/>
        <v>98.29303138333492</v>
      </c>
      <c r="DZ47" s="19">
        <f t="shared" si="94"/>
        <v>94.29249912713918</v>
      </c>
      <c r="EA47" s="19">
        <f t="shared" si="95"/>
        <v>90.285666685182676</v>
      </c>
      <c r="EB47" s="19">
        <f t="shared" si="96"/>
        <v>86.273081632947424</v>
      </c>
      <c r="EC47" s="19">
        <f t="shared" si="97"/>
        <v>82.25535456869035</v>
      </c>
      <c r="ED47" s="19">
        <f t="shared" si="98"/>
        <v>78.233152423660016</v>
      </c>
      <c r="EE47" s="19">
        <f t="shared" si="99"/>
        <v>74.207191155290701</v>
      </c>
      <c r="EF47" s="19">
        <f t="shared" si="100"/>
        <v>70.178227903418531</v>
      </c>
      <c r="EG47" s="19">
        <f t="shared" si="101"/>
        <v>66.147052695440721</v>
      </c>
      <c r="EH47" s="17">
        <f t="shared" si="102"/>
        <v>62.114479791273986</v>
      </c>
    </row>
    <row r="48" spans="5:138" x14ac:dyDescent="0.25">
      <c r="E48" s="35"/>
      <c r="F48" s="21">
        <v>7.0000000000000007E-2</v>
      </c>
      <c r="G48" s="14">
        <f t="shared" si="10"/>
        <v>300</v>
      </c>
      <c r="H48" s="15">
        <f t="shared" si="11"/>
        <v>293.4608773198546</v>
      </c>
      <c r="I48" s="15">
        <f t="shared" si="12"/>
        <v>286.92035720970648</v>
      </c>
      <c r="J48" s="15">
        <f t="shared" si="13"/>
        <v>280.37705755146084</v>
      </c>
      <c r="K48" s="15">
        <f t="shared" si="14"/>
        <v>273.82962668301769</v>
      </c>
      <c r="L48" s="15">
        <f t="shared" si="15"/>
        <v>267.27675820855973</v>
      </c>
      <c r="M48" s="15">
        <f t="shared" si="16"/>
        <v>260.71720531272359</v>
      </c>
      <c r="N48" s="15">
        <f t="shared" si="17"/>
        <v>254.14979442178074</v>
      </c>
      <c r="O48" s="15">
        <f t="shared" si="18"/>
        <v>247.57343806211827</v>
      </c>
      <c r="P48" s="15">
        <f t="shared" si="19"/>
        <v>240.98714677511413</v>
      </c>
      <c r="Q48" s="15">
        <f t="shared" si="20"/>
        <v>234.39003995785259</v>
      </c>
      <c r="R48" s="15">
        <f t="shared" si="21"/>
        <v>227.78135551090759</v>
      </c>
      <c r="S48" s="15">
        <f t="shared" si="22"/>
        <v>221.16045818750197</v>
      </c>
      <c r="T48" s="15">
        <f t="shared" si="23"/>
        <v>214.5268465525935</v>
      </c>
      <c r="U48" s="15">
        <f t="shared" si="24"/>
        <v>207.88015847567652</v>
      </c>
      <c r="V48" s="15">
        <f t="shared" si="25"/>
        <v>201.22017509716477</v>
      </c>
      <c r="W48" s="15">
        <f t="shared" si="26"/>
        <v>194.54682322495057</v>
      </c>
      <c r="X48" s="15">
        <f t="shared" si="27"/>
        <v>187.8601761349409</v>
      </c>
      <c r="Y48" s="15">
        <f t="shared" si="28"/>
        <v>181.16045276685873</v>
      </c>
      <c r="Z48" s="15">
        <f t="shared" si="29"/>
        <v>174.44801532418182</v>
      </c>
      <c r="AA48" s="15">
        <f t="shared" si="30"/>
        <v>167.72336530457045</v>
      </c>
      <c r="AB48" s="15">
        <f t="shared" si="31"/>
        <v>160.98713800432898</v>
      </c>
      <c r="AC48" s="15">
        <f t="shared" si="32"/>
        <v>154.24009555715551</v>
      </c>
      <c r="AD48" s="15">
        <f t="shared" si="33"/>
        <v>147.48311858348455</v>
      </c>
      <c r="AE48" s="15">
        <f t="shared" si="34"/>
        <v>140.71719654193825</v>
      </c>
      <c r="AF48" s="15">
        <f t="shared" si="35"/>
        <v>133.9434168886107</v>
      </c>
      <c r="AG48" s="15">
        <f t="shared" si="36"/>
        <v>127.16295316295839</v>
      </c>
      <c r="AH48" s="15">
        <f t="shared" si="37"/>
        <v>120.37705213081738</v>
      </c>
      <c r="AI48" s="15">
        <f t="shared" si="38"/>
        <v>113.587020125387</v>
      </c>
      <c r="AJ48" s="15">
        <f t="shared" si="103"/>
        <v>106.79420873579517</v>
      </c>
      <c r="AK48" s="14">
        <f t="shared" si="39"/>
        <v>100</v>
      </c>
      <c r="AL48" s="33"/>
      <c r="AM48" s="13">
        <v>7.0000000000000007E-2</v>
      </c>
      <c r="AN48" s="17">
        <f t="shared" si="40"/>
        <v>-1076400000</v>
      </c>
      <c r="AO48" s="18">
        <f t="shared" si="104"/>
        <v>-1052943413.1838491</v>
      </c>
      <c r="AP48" s="18">
        <f t="shared" si="41"/>
        <v>-1029481748.9975507</v>
      </c>
      <c r="AQ48" s="18">
        <f t="shared" si="42"/>
        <v>-1006009985.7048593</v>
      </c>
      <c r="AR48" s="18">
        <f t="shared" si="43"/>
        <v>-982523212.22756886</v>
      </c>
      <c r="AS48" s="18">
        <f t="shared" si="44"/>
        <v>-959016681.9568181</v>
      </c>
      <c r="AT48" s="18">
        <f t="shared" si="45"/>
        <v>-935485864.76179373</v>
      </c>
      <c r="AU48" s="18">
        <f t="shared" si="46"/>
        <v>-911926496.62584829</v>
      </c>
      <c r="AV48" s="18">
        <f t="shared" si="47"/>
        <v>-888334626.36607504</v>
      </c>
      <c r="AW48" s="18">
        <f t="shared" si="48"/>
        <v>-864706658.92437482</v>
      </c>
      <c r="AX48" s="18">
        <f t="shared" si="49"/>
        <v>-841039394.75566483</v>
      </c>
      <c r="AY48" s="18">
        <f t="shared" si="50"/>
        <v>-817330064.88168299</v>
      </c>
      <c r="AZ48" s="18">
        <f t="shared" si="51"/>
        <v>-793576361.22637892</v>
      </c>
      <c r="BA48" s="18">
        <f t="shared" si="52"/>
        <v>-769776461.90062082</v>
      </c>
      <c r="BB48" s="18">
        <f t="shared" si="53"/>
        <v>-745929051.15933001</v>
      </c>
      <c r="BC48" s="18">
        <f t="shared" si="54"/>
        <v>-722033333.81255531</v>
      </c>
      <c r="BD48" s="18">
        <f t="shared" si="55"/>
        <v>-698089043.93279636</v>
      </c>
      <c r="BE48" s="18">
        <f t="shared" si="56"/>
        <v>-674096447.76338792</v>
      </c>
      <c r="BF48" s="18">
        <f t="shared" si="57"/>
        <v>-650056340.7963115</v>
      </c>
      <c r="BG48" s="18">
        <f t="shared" si="58"/>
        <v>-625970039.05167294</v>
      </c>
      <c r="BH48" s="18">
        <f t="shared" si="59"/>
        <v>-601839364.65460742</v>
      </c>
      <c r="BI48" s="18">
        <f t="shared" si="60"/>
        <v>-577666625.86783087</v>
      </c>
      <c r="BJ48" s="18">
        <f t="shared" si="61"/>
        <v>-553454591.798774</v>
      </c>
      <c r="BK48" s="18">
        <f t="shared" si="62"/>
        <v>-529206462.05854684</v>
      </c>
      <c r="BL48" s="18">
        <f t="shared" si="63"/>
        <v>-504925831.70524895</v>
      </c>
      <c r="BM48" s="18">
        <f t="shared" si="64"/>
        <v>-480616651.85575986</v>
      </c>
      <c r="BN48" s="18">
        <f t="shared" si="65"/>
        <v>-456283186.39755791</v>
      </c>
      <c r="BO48" s="18">
        <f t="shared" si="66"/>
        <v>-431929965.27479094</v>
      </c>
      <c r="BP48" s="18">
        <f t="shared" si="67"/>
        <v>-407561734.86031711</v>
      </c>
      <c r="BQ48" s="18">
        <f t="shared" si="68"/>
        <v>-383183405.95731509</v>
      </c>
      <c r="BR48" s="17">
        <f t="shared" si="69"/>
        <v>-358800000</v>
      </c>
      <c r="BT48" s="33"/>
      <c r="BU48" s="21">
        <v>7.0000000000000007E-2</v>
      </c>
      <c r="BV48" s="17">
        <v>0</v>
      </c>
      <c r="BW48" s="19">
        <f t="shared" ref="BW48:CY48" si="112">$B$20/($B$21-$B$22*BV48)</f>
        <v>0.34883720930232553</v>
      </c>
      <c r="BX48" s="19">
        <f t="shared" si="112"/>
        <v>0.39716748768472904</v>
      </c>
      <c r="BY48" s="19">
        <f t="shared" si="112"/>
        <v>0.40494040593779607</v>
      </c>
      <c r="BZ48" s="19">
        <f t="shared" si="112"/>
        <v>0.4062190081621499</v>
      </c>
      <c r="CA48" s="19">
        <f t="shared" si="112"/>
        <v>0.40643010492156101</v>
      </c>
      <c r="CB48" s="19">
        <f t="shared" si="112"/>
        <v>0.40646497802255066</v>
      </c>
      <c r="CC48" s="19">
        <f t="shared" si="112"/>
        <v>0.40647073962099717</v>
      </c>
      <c r="CD48" s="19">
        <f t="shared" si="112"/>
        <v>0.40647169154566137</v>
      </c>
      <c r="CE48" s="19">
        <f t="shared" si="112"/>
        <v>0.40647184882198806</v>
      </c>
      <c r="CF48" s="19">
        <f t="shared" si="112"/>
        <v>0.40647187480708435</v>
      </c>
      <c r="CG48" s="19">
        <f t="shared" si="112"/>
        <v>0.40647187910032606</v>
      </c>
      <c r="CH48" s="19">
        <f t="shared" si="112"/>
        <v>0.40647187980965277</v>
      </c>
      <c r="CI48" s="19">
        <f t="shared" si="112"/>
        <v>0.4064718799268473</v>
      </c>
      <c r="CJ48" s="19">
        <f t="shared" si="112"/>
        <v>0.40647187994621015</v>
      </c>
      <c r="CK48" s="19">
        <f t="shared" si="112"/>
        <v>0.40647187994940925</v>
      </c>
      <c r="CL48" s="19">
        <f t="shared" si="112"/>
        <v>0.40647187994993778</v>
      </c>
      <c r="CM48" s="19">
        <f t="shared" si="112"/>
        <v>0.40647187995002515</v>
      </c>
      <c r="CN48" s="19">
        <f t="shared" si="112"/>
        <v>0.40647187995003953</v>
      </c>
      <c r="CO48" s="19">
        <f t="shared" si="112"/>
        <v>0.40647187995004191</v>
      </c>
      <c r="CP48" s="19">
        <f t="shared" si="112"/>
        <v>0.40647187995004236</v>
      </c>
      <c r="CQ48" s="19">
        <f t="shared" si="112"/>
        <v>0.40647187995004236</v>
      </c>
      <c r="CR48" s="19">
        <f t="shared" si="112"/>
        <v>0.40647187995004236</v>
      </c>
      <c r="CS48" s="19">
        <f t="shared" si="112"/>
        <v>0.40647187995004236</v>
      </c>
      <c r="CT48" s="19">
        <f t="shared" si="112"/>
        <v>0.40647187995004236</v>
      </c>
      <c r="CU48" s="19">
        <f t="shared" si="112"/>
        <v>0.40647187995004236</v>
      </c>
      <c r="CV48" s="19">
        <f t="shared" si="112"/>
        <v>0.40647187995004236</v>
      </c>
      <c r="CW48" s="19">
        <f t="shared" si="112"/>
        <v>0.40647187995004236</v>
      </c>
      <c r="CX48" s="19">
        <f t="shared" si="112"/>
        <v>0.40647187995004236</v>
      </c>
      <c r="CY48" s="17">
        <f t="shared" si="112"/>
        <v>0.40647187995004236</v>
      </c>
      <c r="CZ48" s="12">
        <f t="shared" si="71"/>
        <v>100</v>
      </c>
      <c r="DB48" s="33"/>
      <c r="DC48" s="21">
        <v>7.0000000000000007E-2</v>
      </c>
      <c r="DD48" s="17">
        <f t="shared" si="72"/>
        <v>300</v>
      </c>
      <c r="DE48" s="19">
        <f t="shared" si="73"/>
        <v>193.37238061879418</v>
      </c>
      <c r="DF48" s="19">
        <f t="shared" si="74"/>
        <v>175.56370565755608</v>
      </c>
      <c r="DG48" s="19">
        <f t="shared" si="75"/>
        <v>169.49237736464451</v>
      </c>
      <c r="DH48" s="19">
        <f t="shared" si="76"/>
        <v>165.2567270587418</v>
      </c>
      <c r="DI48" s="19">
        <f t="shared" si="77"/>
        <v>161.31343709845333</v>
      </c>
      <c r="DJ48" s="19">
        <f t="shared" si="78"/>
        <v>157.41421470863872</v>
      </c>
      <c r="DK48" s="19">
        <f t="shared" si="79"/>
        <v>153.51843594215839</v>
      </c>
      <c r="DL48" s="19">
        <f t="shared" si="80"/>
        <v>149.61898487167505</v>
      </c>
      <c r="DM48" s="19">
        <f t="shared" si="81"/>
        <v>145.71419388798611</v>
      </c>
      <c r="DN48" s="19">
        <f t="shared" si="82"/>
        <v>141.80332533723498</v>
      </c>
      <c r="DO48" s="19">
        <f t="shared" si="83"/>
        <v>137.88584848874456</v>
      </c>
      <c r="DP48" s="19">
        <f t="shared" si="84"/>
        <v>133.96132759963237</v>
      </c>
      <c r="DQ48" s="19">
        <f t="shared" si="85"/>
        <v>130.02940773749432</v>
      </c>
      <c r="DR48" s="19">
        <f t="shared" si="86"/>
        <v>126.0898156208264</v>
      </c>
      <c r="DS48" s="19">
        <f t="shared" si="87"/>
        <v>122.14236212273372</v>
      </c>
      <c r="DT48" s="19">
        <f t="shared" si="88"/>
        <v>118.18694426365472</v>
      </c>
      <c r="DU48" s="19">
        <f t="shared" si="89"/>
        <v>114.22354632619809</v>
      </c>
      <c r="DV48" s="19">
        <f t="shared" si="90"/>
        <v>110.25224002448525</v>
      </c>
      <c r="DW48" s="19">
        <f t="shared" si="91"/>
        <v>106.27318371728542</v>
      </c>
      <c r="DX48" s="19">
        <f t="shared" si="92"/>
        <v>102.28662067217395</v>
      </c>
      <c r="DY48" s="19">
        <f t="shared" si="93"/>
        <v>98.292876399537789</v>
      </c>
      <c r="DZ48" s="19">
        <f t="shared" si="94"/>
        <v>94.292355085631527</v>
      </c>
      <c r="EA48" s="19">
        <f t="shared" si="95"/>
        <v>90.285535163783322</v>
      </c>
      <c r="EB48" s="19">
        <f t="shared" si="96"/>
        <v>86.27296407229241</v>
      </c>
      <c r="EC48" s="19">
        <f t="shared" si="97"/>
        <v>82.25525225646382</v>
      </c>
      <c r="ED48" s="19">
        <f t="shared" si="98"/>
        <v>78.233066480500796</v>
      </c>
      <c r="EE48" s="19">
        <f t="shared" si="99"/>
        <v>74.207122522528024</v>
      </c>
      <c r="EF48" s="19">
        <f t="shared" si="100"/>
        <v>70.178177332771099</v>
      </c>
      <c r="EG48" s="19">
        <f t="shared" si="101"/>
        <v>66.147020740790936</v>
      </c>
      <c r="EH48" s="17">
        <f t="shared" si="102"/>
        <v>62.114466802607424</v>
      </c>
    </row>
    <row r="49" spans="5:138" x14ac:dyDescent="0.25">
      <c r="E49" s="35"/>
      <c r="F49" s="21">
        <v>6.6666666666666666E-2</v>
      </c>
      <c r="G49" s="14">
        <f t="shared" si="10"/>
        <v>300</v>
      </c>
      <c r="H49" s="15">
        <f t="shared" si="11"/>
        <v>293.46084261034531</v>
      </c>
      <c r="I49" s="15">
        <f t="shared" si="12"/>
        <v>286.92028817109883</v>
      </c>
      <c r="J49" s="15">
        <f t="shared" si="13"/>
        <v>280.37695494040327</v>
      </c>
      <c r="K49" s="15">
        <f t="shared" si="14"/>
        <v>273.82949162409534</v>
      </c>
      <c r="L49" s="15">
        <f t="shared" si="15"/>
        <v>267.27659218195771</v>
      </c>
      <c r="M49" s="15">
        <f t="shared" si="16"/>
        <v>260.71701013798997</v>
      </c>
      <c r="N49" s="15">
        <f t="shared" si="17"/>
        <v>254.14957223786831</v>
      </c>
      <c r="O49" s="15">
        <f t="shared" si="18"/>
        <v>247.5731913039244</v>
      </c>
      <c r="P49" s="15">
        <f t="shared" si="19"/>
        <v>240.9868781467772</v>
      </c>
      <c r="Q49" s="15">
        <f t="shared" si="20"/>
        <v>234.38975240309841</v>
      </c>
      <c r="R49" s="15">
        <f t="shared" si="21"/>
        <v>227.78105218077212</v>
      </c>
      <c r="S49" s="15">
        <f t="shared" si="22"/>
        <v>221.16014240578494</v>
      </c>
      <c r="T49" s="15">
        <f t="shared" si="23"/>
        <v>214.52652177942247</v>
      </c>
      <c r="U49" s="15">
        <f t="shared" si="24"/>
        <v>207.87982826958128</v>
      </c>
      <c r="V49" s="15">
        <f t="shared" si="25"/>
        <v>201.21984307607863</v>
      </c>
      <c r="W49" s="15">
        <f t="shared" si="26"/>
        <v>194.54649302656605</v>
      </c>
      <c r="X49" s="15">
        <f t="shared" si="27"/>
        <v>187.85985137685429</v>
      </c>
      <c r="Y49" s="15">
        <f t="shared" si="28"/>
        <v>181.16013700694066</v>
      </c>
      <c r="Z49" s="15">
        <f t="shared" si="29"/>
        <v>174.44771202160706</v>
      </c>
      <c r="AA49" s="15">
        <f t="shared" si="30"/>
        <v>167.72307778193419</v>
      </c>
      <c r="AB49" s="15">
        <f t="shared" si="31"/>
        <v>160.98686941126346</v>
      </c>
      <c r="AC49" s="15">
        <f t="shared" si="32"/>
        <v>154.23984883584507</v>
      </c>
      <c r="AD49" s="15">
        <f t="shared" si="33"/>
        <v>147.48289643645552</v>
      </c>
      <c r="AE49" s="15">
        <f t="shared" si="34"/>
        <v>140.71700140247603</v>
      </c>
      <c r="AF49" s="15">
        <f t="shared" si="35"/>
        <v>133.94325089412652</v>
      </c>
      <c r="AG49" s="15">
        <f t="shared" si="36"/>
        <v>127.16281813159665</v>
      </c>
      <c r="AH49" s="15">
        <f t="shared" si="37"/>
        <v>120.37694954155867</v>
      </c>
      <c r="AI49" s="15">
        <f t="shared" si="38"/>
        <v>113.58695110186378</v>
      </c>
      <c r="AJ49" s="15">
        <f t="shared" si="103"/>
        <v>106.7941740339966</v>
      </c>
      <c r="AK49" s="14">
        <f t="shared" si="39"/>
        <v>100</v>
      </c>
      <c r="AL49" s="33"/>
      <c r="AM49" s="13">
        <v>6.6666666666666666E-2</v>
      </c>
      <c r="AN49" s="17">
        <f t="shared" si="40"/>
        <v>-1076400000</v>
      </c>
      <c r="AO49" s="18">
        <f t="shared" si="104"/>
        <v>-1052943287.0712287</v>
      </c>
      <c r="AP49" s="18">
        <f t="shared" si="41"/>
        <v>-1029481498.1545022</v>
      </c>
      <c r="AQ49" s="18">
        <f t="shared" si="42"/>
        <v>-1006009612.880602</v>
      </c>
      <c r="AR49" s="18">
        <f t="shared" si="43"/>
        <v>-982522721.50818896</v>
      </c>
      <c r="AS49" s="18">
        <f t="shared" si="44"/>
        <v>-959016078.72044075</v>
      </c>
      <c r="AT49" s="18">
        <f t="shared" si="45"/>
        <v>-935485155.6195848</v>
      </c>
      <c r="AU49" s="18">
        <f t="shared" si="46"/>
        <v>-911925689.34949541</v>
      </c>
      <c r="AV49" s="18">
        <f t="shared" si="47"/>
        <v>-888333729.80254257</v>
      </c>
      <c r="AW49" s="18">
        <f t="shared" si="48"/>
        <v>-864705682.89887714</v>
      </c>
      <c r="AX49" s="18">
        <f t="shared" si="49"/>
        <v>-841038349.96391797</v>
      </c>
      <c r="AY49" s="18">
        <f t="shared" si="50"/>
        <v>-817328962.77262616</v>
      </c>
      <c r="AZ49" s="18">
        <f t="shared" si="51"/>
        <v>-793575213.87665033</v>
      </c>
      <c r="BA49" s="18">
        <f t="shared" si="52"/>
        <v>-769775281.8821696</v>
      </c>
      <c r="BB49" s="18">
        <f t="shared" si="53"/>
        <v>-745927851.4016161</v>
      </c>
      <c r="BC49" s="18">
        <f t="shared" si="54"/>
        <v>-722032127.46085143</v>
      </c>
      <c r="BD49" s="18">
        <f t="shared" si="55"/>
        <v>-698087844.20414364</v>
      </c>
      <c r="BE49" s="18">
        <f t="shared" si="56"/>
        <v>-674095267.80178916</v>
      </c>
      <c r="BF49" s="18">
        <f t="shared" si="57"/>
        <v>-650055193.52874172</v>
      </c>
      <c r="BG49" s="18">
        <f t="shared" si="58"/>
        <v>-625968937.04649055</v>
      </c>
      <c r="BH49" s="18">
        <f t="shared" si="59"/>
        <v>-601838319.98391092</v>
      </c>
      <c r="BI49" s="18">
        <f t="shared" si="60"/>
        <v>-577665649.97526884</v>
      </c>
      <c r="BJ49" s="18">
        <f t="shared" si="61"/>
        <v>-553453695.3742528</v>
      </c>
      <c r="BK49" s="18">
        <f t="shared" si="62"/>
        <v>-529205654.92120504</v>
      </c>
      <c r="BL49" s="18">
        <f t="shared" si="63"/>
        <v>-504925122.6959759</v>
      </c>
      <c r="BM49" s="18">
        <f t="shared" si="64"/>
        <v>-480616048.7404328</v>
      </c>
      <c r="BN49" s="18">
        <f t="shared" si="65"/>
        <v>-456282695.78205252</v>
      </c>
      <c r="BO49" s="18">
        <f t="shared" si="66"/>
        <v>-431929592.53269237</v>
      </c>
      <c r="BP49" s="18">
        <f t="shared" si="67"/>
        <v>-407561484.07412058</v>
      </c>
      <c r="BQ49" s="18">
        <f t="shared" si="68"/>
        <v>-383183279.87375575</v>
      </c>
      <c r="BR49" s="17">
        <f t="shared" si="69"/>
        <v>-358800000</v>
      </c>
      <c r="BT49" s="33"/>
      <c r="BU49" s="21">
        <v>6.6666666666666666E-2</v>
      </c>
      <c r="BV49" s="17">
        <v>0</v>
      </c>
      <c r="BW49" s="19">
        <f t="shared" ref="BW49:CY49" si="113">$B$20/($B$21-$B$22*BV49)</f>
        <v>0.34883720930232553</v>
      </c>
      <c r="BX49" s="19">
        <f t="shared" si="113"/>
        <v>0.39716748768472904</v>
      </c>
      <c r="BY49" s="19">
        <f t="shared" si="113"/>
        <v>0.40494040593779607</v>
      </c>
      <c r="BZ49" s="19">
        <f t="shared" si="113"/>
        <v>0.4062190081621499</v>
      </c>
      <c r="CA49" s="19">
        <f t="shared" si="113"/>
        <v>0.40643010492156101</v>
      </c>
      <c r="CB49" s="19">
        <f t="shared" si="113"/>
        <v>0.40646497802255066</v>
      </c>
      <c r="CC49" s="19">
        <f t="shared" si="113"/>
        <v>0.40647073962099717</v>
      </c>
      <c r="CD49" s="19">
        <f t="shared" si="113"/>
        <v>0.40647169154566137</v>
      </c>
      <c r="CE49" s="19">
        <f t="shared" si="113"/>
        <v>0.40647184882198806</v>
      </c>
      <c r="CF49" s="19">
        <f t="shared" si="113"/>
        <v>0.40647187480708435</v>
      </c>
      <c r="CG49" s="19">
        <f t="shared" si="113"/>
        <v>0.40647187910032606</v>
      </c>
      <c r="CH49" s="19">
        <f t="shared" si="113"/>
        <v>0.40647187980965277</v>
      </c>
      <c r="CI49" s="19">
        <f t="shared" si="113"/>
        <v>0.4064718799268473</v>
      </c>
      <c r="CJ49" s="19">
        <f t="shared" si="113"/>
        <v>0.40647187994621015</v>
      </c>
      <c r="CK49" s="19">
        <f t="shared" si="113"/>
        <v>0.40647187994940925</v>
      </c>
      <c r="CL49" s="19">
        <f t="shared" si="113"/>
        <v>0.40647187994993778</v>
      </c>
      <c r="CM49" s="19">
        <f t="shared" si="113"/>
        <v>0.40647187995002515</v>
      </c>
      <c r="CN49" s="19">
        <f t="shared" si="113"/>
        <v>0.40647187995003953</v>
      </c>
      <c r="CO49" s="19">
        <f t="shared" si="113"/>
        <v>0.40647187995004191</v>
      </c>
      <c r="CP49" s="19">
        <f t="shared" si="113"/>
        <v>0.40647187995004236</v>
      </c>
      <c r="CQ49" s="19">
        <f t="shared" si="113"/>
        <v>0.40647187995004236</v>
      </c>
      <c r="CR49" s="19">
        <f t="shared" si="113"/>
        <v>0.40647187995004236</v>
      </c>
      <c r="CS49" s="19">
        <f t="shared" si="113"/>
        <v>0.40647187995004236</v>
      </c>
      <c r="CT49" s="19">
        <f t="shared" si="113"/>
        <v>0.40647187995004236</v>
      </c>
      <c r="CU49" s="19">
        <f t="shared" si="113"/>
        <v>0.40647187995004236</v>
      </c>
      <c r="CV49" s="19">
        <f t="shared" si="113"/>
        <v>0.40647187995004236</v>
      </c>
      <c r="CW49" s="19">
        <f t="shared" si="113"/>
        <v>0.40647187995004236</v>
      </c>
      <c r="CX49" s="19">
        <f t="shared" si="113"/>
        <v>0.40647187995004236</v>
      </c>
      <c r="CY49" s="17">
        <f t="shared" si="113"/>
        <v>0.40647187995004236</v>
      </c>
      <c r="CZ49" s="12">
        <f t="shared" si="71"/>
        <v>100</v>
      </c>
      <c r="DB49" s="33"/>
      <c r="DC49" s="21">
        <v>6.6666666666666666E-2</v>
      </c>
      <c r="DD49" s="17">
        <f t="shared" si="72"/>
        <v>300</v>
      </c>
      <c r="DE49" s="19">
        <f t="shared" si="73"/>
        <v>193.37236999252013</v>
      </c>
      <c r="DF49" s="19">
        <f t="shared" si="74"/>
        <v>175.56367737272441</v>
      </c>
      <c r="DG49" s="19">
        <f t="shared" si="75"/>
        <v>169.4923294444018</v>
      </c>
      <c r="DH49" s="19">
        <f t="shared" si="76"/>
        <v>165.25665944298103</v>
      </c>
      <c r="DI49" s="19">
        <f t="shared" si="77"/>
        <v>161.31335039673874</v>
      </c>
      <c r="DJ49" s="19">
        <f t="shared" si="78"/>
        <v>157.41410984388415</v>
      </c>
      <c r="DK49" s="19">
        <f t="shared" si="79"/>
        <v>153.51831405823154</v>
      </c>
      <c r="DL49" s="19">
        <f t="shared" si="80"/>
        <v>149.61884730329569</v>
      </c>
      <c r="DM49" s="19">
        <f t="shared" si="81"/>
        <v>145.71404214256177</v>
      </c>
      <c r="DN49" s="19">
        <f t="shared" si="82"/>
        <v>141.80316107764966</v>
      </c>
      <c r="DO49" s="19">
        <f t="shared" si="83"/>
        <v>137.88567351499699</v>
      </c>
      <c r="DP49" s="19">
        <f t="shared" si="84"/>
        <v>133.96114382907669</v>
      </c>
      <c r="DQ49" s="19">
        <f t="shared" si="85"/>
        <v>130.02921718381558</v>
      </c>
      <c r="DR49" s="19">
        <f t="shared" si="86"/>
        <v>126.08962037196621</v>
      </c>
      <c r="DS49" s="19">
        <f t="shared" si="87"/>
        <v>122.1421643180057</v>
      </c>
      <c r="DT49" s="19">
        <f t="shared" si="88"/>
        <v>118.18674607030017</v>
      </c>
      <c r="DU49" s="19">
        <f t="shared" si="89"/>
        <v>114.22334991563901</v>
      </c>
      <c r="DV49" s="19">
        <f t="shared" si="90"/>
        <v>110.25204754853493</v>
      </c>
      <c r="DW49" s="19">
        <f t="shared" si="91"/>
        <v>106.27299728457714</v>
      </c>
      <c r="DX49" s="19">
        <f t="shared" si="92"/>
        <v>102.28644232506595</v>
      </c>
      <c r="DY49" s="19">
        <f t="shared" si="93"/>
        <v>98.292708091747159</v>
      </c>
      <c r="DZ49" s="19">
        <f t="shared" si="94"/>
        <v>94.292198660841578</v>
      </c>
      <c r="EA49" s="19">
        <f t="shared" si="95"/>
        <v>90.28539233545834</v>
      </c>
      <c r="EB49" s="19">
        <f t="shared" si="96"/>
        <v>86.272836404920227</v>
      </c>
      <c r="EC49" s="19">
        <f t="shared" si="97"/>
        <v>82.255141148431093</v>
      </c>
      <c r="ED49" s="19">
        <f t="shared" si="98"/>
        <v>78.232973148787906</v>
      </c>
      <c r="EE49" s="19">
        <f t="shared" si="99"/>
        <v>74.207047989390574</v>
      </c>
      <c r="EF49" s="19">
        <f t="shared" si="100"/>
        <v>70.178122414553172</v>
      </c>
      <c r="EG49" s="19">
        <f t="shared" si="101"/>
        <v>66.146986038992367</v>
      </c>
      <c r="EH49" s="17">
        <f t="shared" si="102"/>
        <v>62.11445269730212</v>
      </c>
    </row>
    <row r="50" spans="5:138" x14ac:dyDescent="0.25">
      <c r="E50" s="35"/>
      <c r="F50" s="21">
        <v>6.3333333333333339E-2</v>
      </c>
      <c r="G50" s="14">
        <f t="shared" si="10"/>
        <v>300</v>
      </c>
      <c r="H50" s="15">
        <f t="shared" si="11"/>
        <v>293.46080556004949</v>
      </c>
      <c r="I50" s="15">
        <f t="shared" si="12"/>
        <v>286.92021447657277</v>
      </c>
      <c r="J50" s="15">
        <f t="shared" si="13"/>
        <v>280.37684540932321</v>
      </c>
      <c r="K50" s="15">
        <f t="shared" si="14"/>
        <v>273.82934745688777</v>
      </c>
      <c r="L50" s="15">
        <f t="shared" si="15"/>
        <v>267.27641495863043</v>
      </c>
      <c r="M50" s="15">
        <f t="shared" si="16"/>
        <v>260.71680180080028</v>
      </c>
      <c r="N50" s="15">
        <f t="shared" si="17"/>
        <v>254.14933507001854</v>
      </c>
      <c r="O50" s="15">
        <f t="shared" si="18"/>
        <v>247.57292790451976</v>
      </c>
      <c r="P50" s="15">
        <f t="shared" si="19"/>
        <v>240.98659140232132</v>
      </c>
      <c r="Q50" s="15">
        <f t="shared" si="20"/>
        <v>234.38944545584008</v>
      </c>
      <c r="R50" s="15">
        <f t="shared" si="21"/>
        <v>227.78072839425107</v>
      </c>
      <c r="S50" s="15">
        <f t="shared" si="22"/>
        <v>221.15980532795581</v>
      </c>
      <c r="T50" s="15">
        <f t="shared" si="23"/>
        <v>214.52617510376149</v>
      </c>
      <c r="U50" s="15">
        <f t="shared" si="24"/>
        <v>207.8794757946032</v>
      </c>
      <c r="V50" s="15">
        <f t="shared" si="25"/>
        <v>201.21948866370786</v>
      </c>
      <c r="W50" s="15">
        <f t="shared" si="26"/>
        <v>194.54614055981861</v>
      </c>
      <c r="X50" s="15">
        <f t="shared" si="27"/>
        <v>187.8595047172949</v>
      </c>
      <c r="Y50" s="15">
        <f t="shared" si="28"/>
        <v>181.1597999523803</v>
      </c>
      <c r="Z50" s="15">
        <f t="shared" si="29"/>
        <v>174.44738826450504</v>
      </c>
      <c r="AA50" s="15">
        <f t="shared" si="30"/>
        <v>167.7227708689594</v>
      </c>
      <c r="AB50" s="15">
        <f t="shared" si="31"/>
        <v>160.98658270445725</v>
      </c>
      <c r="AC50" s="15">
        <f t="shared" si="32"/>
        <v>154.23958547581074</v>
      </c>
      <c r="AD50" s="15">
        <f t="shared" si="33"/>
        <v>147.48265930797606</v>
      </c>
      <c r="AE50" s="15">
        <f t="shared" si="34"/>
        <v>140.71679310293604</v>
      </c>
      <c r="AF50" s="15">
        <f t="shared" si="35"/>
        <v>133.94307370508284</v>
      </c>
      <c r="AG50" s="15">
        <f t="shared" si="36"/>
        <v>127.16267399380817</v>
      </c>
      <c r="AH50" s="15">
        <f t="shared" si="37"/>
        <v>120.37684003374744</v>
      </c>
      <c r="AI50" s="15">
        <f t="shared" si="38"/>
        <v>113.58687742343926</v>
      </c>
      <c r="AJ50" s="15">
        <f t="shared" si="103"/>
        <v>106.79413699193142</v>
      </c>
      <c r="AK50" s="14">
        <f t="shared" si="39"/>
        <v>100</v>
      </c>
      <c r="AL50" s="33"/>
      <c r="AM50" s="13">
        <v>6.3333333333333339E-2</v>
      </c>
      <c r="AN50" s="17">
        <f t="shared" si="40"/>
        <v>-1076400000</v>
      </c>
      <c r="AO50" s="18">
        <f t="shared" si="104"/>
        <v>-1052943152.4536558</v>
      </c>
      <c r="AP50" s="18">
        <f t="shared" si="41"/>
        <v>-1029481230.3947626</v>
      </c>
      <c r="AQ50" s="18">
        <f t="shared" si="42"/>
        <v>-1006009214.9133216</v>
      </c>
      <c r="AR50" s="18">
        <f t="shared" si="43"/>
        <v>-982522197.69501615</v>
      </c>
      <c r="AS50" s="18">
        <f t="shared" si="44"/>
        <v>-959015434.80219781</v>
      </c>
      <c r="AT50" s="18">
        <f t="shared" si="45"/>
        <v>-935484398.65329075</v>
      </c>
      <c r="AU50" s="18">
        <f t="shared" si="46"/>
        <v>-911924827.63095474</v>
      </c>
      <c r="AV50" s="18">
        <f t="shared" si="47"/>
        <v>-888332772.77535379</v>
      </c>
      <c r="AW50" s="18">
        <f t="shared" si="48"/>
        <v>-864704641.05085981</v>
      </c>
      <c r="AX50" s="18">
        <f t="shared" si="49"/>
        <v>-841037234.71210051</v>
      </c>
      <c r="AY50" s="18">
        <f t="shared" si="50"/>
        <v>-817327786.3380568</v>
      </c>
      <c r="AZ50" s="18">
        <f t="shared" si="51"/>
        <v>-793573989.15040779</v>
      </c>
      <c r="BA50" s="18">
        <f t="shared" si="52"/>
        <v>-769774022.28404701</v>
      </c>
      <c r="BB50" s="18">
        <f t="shared" si="53"/>
        <v>-745926570.73302782</v>
      </c>
      <c r="BC50" s="18">
        <f t="shared" si="54"/>
        <v>-722030839.75357831</v>
      </c>
      <c r="BD50" s="18">
        <f t="shared" si="55"/>
        <v>-698086563.56657612</v>
      </c>
      <c r="BE50" s="18">
        <f t="shared" si="56"/>
        <v>-674094008.26435244</v>
      </c>
      <c r="BF50" s="18">
        <f t="shared" si="57"/>
        <v>-650053968.89019775</v>
      </c>
      <c r="BG50" s="18">
        <f t="shared" si="58"/>
        <v>-625967760.72279966</v>
      </c>
      <c r="BH50" s="18">
        <f t="shared" si="59"/>
        <v>-601837204.86130607</v>
      </c>
      <c r="BI50" s="18">
        <f t="shared" si="60"/>
        <v>-577664608.26915061</v>
      </c>
      <c r="BJ50" s="18">
        <f t="shared" si="61"/>
        <v>-553452738.49544811</v>
      </c>
      <c r="BK50" s="18">
        <f t="shared" si="62"/>
        <v>-529204793.35104859</v>
      </c>
      <c r="BL50" s="18">
        <f t="shared" si="63"/>
        <v>-504924365.87158096</v>
      </c>
      <c r="BM50" s="18">
        <f t="shared" si="64"/>
        <v>-480615404.95140231</v>
      </c>
      <c r="BN50" s="18">
        <f t="shared" si="65"/>
        <v>-456282172.07975811</v>
      </c>
      <c r="BO50" s="18">
        <f t="shared" si="66"/>
        <v>-431929194.65311044</v>
      </c>
      <c r="BP50" s="18">
        <f t="shared" si="67"/>
        <v>-407561216.37506694</v>
      </c>
      <c r="BQ50" s="18">
        <f t="shared" si="68"/>
        <v>-383183145.28720373</v>
      </c>
      <c r="BR50" s="17">
        <f t="shared" si="69"/>
        <v>-358800000</v>
      </c>
      <c r="BT50" s="33"/>
      <c r="BU50" s="21">
        <v>6.3333333333333339E-2</v>
      </c>
      <c r="BV50" s="17">
        <v>0</v>
      </c>
      <c r="BW50" s="19">
        <f t="shared" ref="BW50:CY50" si="114">$B$20/($B$21-$B$22*BV50)</f>
        <v>0.34883720930232553</v>
      </c>
      <c r="BX50" s="19">
        <f t="shared" si="114"/>
        <v>0.39716748768472904</v>
      </c>
      <c r="BY50" s="19">
        <f t="shared" si="114"/>
        <v>0.40494040593779607</v>
      </c>
      <c r="BZ50" s="19">
        <f t="shared" si="114"/>
        <v>0.4062190081621499</v>
      </c>
      <c r="CA50" s="19">
        <f t="shared" si="114"/>
        <v>0.40643010492156101</v>
      </c>
      <c r="CB50" s="19">
        <f t="shared" si="114"/>
        <v>0.40646497802255066</v>
      </c>
      <c r="CC50" s="19">
        <f t="shared" si="114"/>
        <v>0.40647073962099717</v>
      </c>
      <c r="CD50" s="19">
        <f t="shared" si="114"/>
        <v>0.40647169154566137</v>
      </c>
      <c r="CE50" s="19">
        <f t="shared" si="114"/>
        <v>0.40647184882198806</v>
      </c>
      <c r="CF50" s="19">
        <f t="shared" si="114"/>
        <v>0.40647187480708435</v>
      </c>
      <c r="CG50" s="19">
        <f t="shared" si="114"/>
        <v>0.40647187910032606</v>
      </c>
      <c r="CH50" s="19">
        <f t="shared" si="114"/>
        <v>0.40647187980965277</v>
      </c>
      <c r="CI50" s="19">
        <f t="shared" si="114"/>
        <v>0.4064718799268473</v>
      </c>
      <c r="CJ50" s="19">
        <f t="shared" si="114"/>
        <v>0.40647187994621015</v>
      </c>
      <c r="CK50" s="19">
        <f t="shared" si="114"/>
        <v>0.40647187994940925</v>
      </c>
      <c r="CL50" s="19">
        <f t="shared" si="114"/>
        <v>0.40647187994993778</v>
      </c>
      <c r="CM50" s="19">
        <f t="shared" si="114"/>
        <v>0.40647187995002515</v>
      </c>
      <c r="CN50" s="19">
        <f t="shared" si="114"/>
        <v>0.40647187995003953</v>
      </c>
      <c r="CO50" s="19">
        <f t="shared" si="114"/>
        <v>0.40647187995004191</v>
      </c>
      <c r="CP50" s="19">
        <f t="shared" si="114"/>
        <v>0.40647187995004236</v>
      </c>
      <c r="CQ50" s="19">
        <f t="shared" si="114"/>
        <v>0.40647187995004236</v>
      </c>
      <c r="CR50" s="19">
        <f t="shared" si="114"/>
        <v>0.40647187995004236</v>
      </c>
      <c r="CS50" s="19">
        <f t="shared" si="114"/>
        <v>0.40647187995004236</v>
      </c>
      <c r="CT50" s="19">
        <f t="shared" si="114"/>
        <v>0.40647187995004236</v>
      </c>
      <c r="CU50" s="19">
        <f t="shared" si="114"/>
        <v>0.40647187995004236</v>
      </c>
      <c r="CV50" s="19">
        <f t="shared" si="114"/>
        <v>0.40647187995004236</v>
      </c>
      <c r="CW50" s="19">
        <f t="shared" si="114"/>
        <v>0.40647187995004236</v>
      </c>
      <c r="CX50" s="19">
        <f t="shared" si="114"/>
        <v>0.40647187995004236</v>
      </c>
      <c r="CY50" s="17">
        <f t="shared" si="114"/>
        <v>0.40647187995004236</v>
      </c>
      <c r="CZ50" s="12">
        <f t="shared" si="71"/>
        <v>100</v>
      </c>
      <c r="DB50" s="33"/>
      <c r="DC50" s="21">
        <v>6.3333333333333339E-2</v>
      </c>
      <c r="DD50" s="17">
        <f t="shared" si="72"/>
        <v>300</v>
      </c>
      <c r="DE50" s="19">
        <f t="shared" si="73"/>
        <v>193.37235864961713</v>
      </c>
      <c r="DF50" s="19">
        <f t="shared" si="74"/>
        <v>175.56364718038222</v>
      </c>
      <c r="DG50" s="19">
        <f t="shared" si="75"/>
        <v>169.4922782924493</v>
      </c>
      <c r="DH50" s="19">
        <f t="shared" si="76"/>
        <v>165.25658726725771</v>
      </c>
      <c r="DI50" s="19">
        <f t="shared" si="77"/>
        <v>161.31325784791736</v>
      </c>
      <c r="DJ50" s="19">
        <f t="shared" si="78"/>
        <v>157.41399790711932</v>
      </c>
      <c r="DK50" s="19">
        <f t="shared" si="79"/>
        <v>153.51818395453259</v>
      </c>
      <c r="DL50" s="19">
        <f t="shared" si="80"/>
        <v>149.61870045739508</v>
      </c>
      <c r="DM50" s="19">
        <f t="shared" si="81"/>
        <v>145.71388016352549</v>
      </c>
      <c r="DN50" s="19">
        <f t="shared" si="82"/>
        <v>141.80298574050556</v>
      </c>
      <c r="DO50" s="19">
        <f t="shared" si="83"/>
        <v>137.88548674113457</v>
      </c>
      <c r="DP50" s="19">
        <f t="shared" si="84"/>
        <v>133.96094766515515</v>
      </c>
      <c r="DQ50" s="19">
        <f t="shared" si="85"/>
        <v>130.02901377932156</v>
      </c>
      <c r="DR50" s="19">
        <f t="shared" si="86"/>
        <v>126.08941195565075</v>
      </c>
      <c r="DS50" s="19">
        <f t="shared" si="87"/>
        <v>122.14195317345636</v>
      </c>
      <c r="DT50" s="19">
        <f t="shared" si="88"/>
        <v>118.18653451091555</v>
      </c>
      <c r="DU50" s="19">
        <f t="shared" si="89"/>
        <v>114.2231402592804</v>
      </c>
      <c r="DV50" s="19">
        <f t="shared" si="90"/>
        <v>110.25184209213246</v>
      </c>
      <c r="DW50" s="19">
        <f t="shared" si="91"/>
        <v>106.27279827896899</v>
      </c>
      <c r="DX50" s="19">
        <f t="shared" si="92"/>
        <v>102.28625195034567</v>
      </c>
      <c r="DY50" s="19">
        <f t="shared" si="93"/>
        <v>98.292528433389222</v>
      </c>
      <c r="DZ50" s="19">
        <f t="shared" si="94"/>
        <v>94.292031686866096</v>
      </c>
      <c r="EA50" s="19">
        <f t="shared" si="95"/>
        <v>90.28523987488451</v>
      </c>
      <c r="EB50" s="19">
        <f t="shared" si="96"/>
        <v>86.272700127743917</v>
      </c>
      <c r="EC50" s="19">
        <f t="shared" si="97"/>
        <v>82.255022547345263</v>
      </c>
      <c r="ED50" s="19">
        <f t="shared" si="98"/>
        <v>78.232873522845324</v>
      </c>
      <c r="EE50" s="19">
        <f t="shared" si="99"/>
        <v>74.206968429787054</v>
      </c>
      <c r="EF50" s="19">
        <f t="shared" si="100"/>
        <v>70.178063792686544</v>
      </c>
      <c r="EG50" s="19">
        <f t="shared" si="101"/>
        <v>66.146948996927193</v>
      </c>
      <c r="EH50" s="17">
        <f t="shared" si="102"/>
        <v>62.114437640744256</v>
      </c>
    </row>
    <row r="51" spans="5:138" x14ac:dyDescent="0.25">
      <c r="E51" s="35"/>
      <c r="F51" s="21">
        <v>6.0000000000000005E-2</v>
      </c>
      <c r="G51" s="14">
        <f t="shared" si="10"/>
        <v>300</v>
      </c>
      <c r="H51" s="15">
        <f t="shared" si="11"/>
        <v>293.46076660337951</v>
      </c>
      <c r="I51" s="15">
        <f t="shared" si="12"/>
        <v>286.92013699019191</v>
      </c>
      <c r="J51" s="15">
        <f t="shared" si="13"/>
        <v>280.37673024246573</v>
      </c>
      <c r="K51" s="15">
        <f t="shared" si="14"/>
        <v>273.82919587174638</v>
      </c>
      <c r="L51" s="15">
        <f t="shared" si="15"/>
        <v>267.2762286165102</v>
      </c>
      <c r="M51" s="15">
        <f t="shared" si="16"/>
        <v>260.71658274389472</v>
      </c>
      <c r="N51" s="15">
        <f t="shared" si="17"/>
        <v>254.14908569900913</v>
      </c>
      <c r="O51" s="15">
        <f t="shared" si="18"/>
        <v>247.57265095224534</v>
      </c>
      <c r="P51" s="15">
        <f t="shared" si="19"/>
        <v>240.98628990380678</v>
      </c>
      <c r="Q51" s="15">
        <f t="shared" si="20"/>
        <v>234.38912271501442</v>
      </c>
      <c r="R51" s="15">
        <f t="shared" si="21"/>
        <v>227.78038794772053</v>
      </c>
      <c r="S51" s="15">
        <f t="shared" si="22"/>
        <v>221.15945090623032</v>
      </c>
      <c r="T51" s="15">
        <f t="shared" si="23"/>
        <v>214.52581059036027</v>
      </c>
      <c r="U51" s="15">
        <f t="shared" si="24"/>
        <v>207.87910518348858</v>
      </c>
      <c r="V51" s="15">
        <f t="shared" si="25"/>
        <v>201.21911601551443</v>
      </c>
      <c r="W51" s="15">
        <f t="shared" si="26"/>
        <v>194.545769957358</v>
      </c>
      <c r="X51" s="15">
        <f t="shared" si="27"/>
        <v>187.85914022082352</v>
      </c>
      <c r="Y51" s="15">
        <f t="shared" si="28"/>
        <v>181.15944555512053</v>
      </c>
      <c r="Z51" s="15">
        <f t="shared" si="29"/>
        <v>174.44704784890683</v>
      </c>
      <c r="AA51" s="15">
        <f t="shared" si="30"/>
        <v>167.72244816418078</v>
      </c>
      <c r="AB51" s="15">
        <f t="shared" si="31"/>
        <v>160.98628124552906</v>
      </c>
      <c r="AC51" s="15">
        <f t="shared" si="32"/>
        <v>154.23930856493186</v>
      </c>
      <c r="AD51" s="15">
        <f t="shared" si="33"/>
        <v>147.48240997836223</v>
      </c>
      <c r="AE51" s="15">
        <f t="shared" si="34"/>
        <v>140.71657408561683</v>
      </c>
      <c r="AF51" s="15">
        <f t="shared" si="35"/>
        <v>133.94288739900966</v>
      </c>
      <c r="AG51" s="15">
        <f t="shared" si="36"/>
        <v>127.1625224395991</v>
      </c>
      <c r="AH51" s="15">
        <f t="shared" si="37"/>
        <v>120.37672489135562</v>
      </c>
      <c r="AI51" s="15">
        <f t="shared" si="38"/>
        <v>113.58679995398823</v>
      </c>
      <c r="AJ51" s="15">
        <f t="shared" si="103"/>
        <v>106.79409804391545</v>
      </c>
      <c r="AK51" s="14">
        <f t="shared" si="39"/>
        <v>100</v>
      </c>
      <c r="AL51" s="33"/>
      <c r="AM51" s="13">
        <v>6.0000000000000005E-2</v>
      </c>
      <c r="AN51" s="17">
        <f t="shared" si="40"/>
        <v>-1076400000</v>
      </c>
      <c r="AO51" s="18">
        <f t="shared" si="104"/>
        <v>-1052943010.9095131</v>
      </c>
      <c r="AP51" s="18">
        <f t="shared" si="41"/>
        <v>-1029480948.8577983</v>
      </c>
      <c r="AQ51" s="18">
        <f t="shared" si="42"/>
        <v>-1006008796.4691583</v>
      </c>
      <c r="AR51" s="18">
        <f t="shared" si="43"/>
        <v>-982521646.92972589</v>
      </c>
      <c r="AS51" s="18">
        <f t="shared" si="44"/>
        <v>-959014757.75198901</v>
      </c>
      <c r="AT51" s="18">
        <f t="shared" si="45"/>
        <v>-935483602.73829198</v>
      </c>
      <c r="AU51" s="18">
        <f t="shared" si="46"/>
        <v>-911923921.57382023</v>
      </c>
      <c r="AV51" s="18">
        <f t="shared" si="47"/>
        <v>-888331766.50558996</v>
      </c>
      <c r="AW51" s="18">
        <f t="shared" si="48"/>
        <v>-864703545.5959233</v>
      </c>
      <c r="AX51" s="18">
        <f t="shared" si="49"/>
        <v>-841036062.07646799</v>
      </c>
      <c r="AY51" s="18">
        <f t="shared" si="50"/>
        <v>-817326549.37159395</v>
      </c>
      <c r="AZ51" s="18">
        <f t="shared" si="51"/>
        <v>-793572701.40748727</v>
      </c>
      <c r="BA51" s="18">
        <f t="shared" si="52"/>
        <v>-769772697.87495959</v>
      </c>
      <c r="BB51" s="18">
        <f t="shared" si="53"/>
        <v>-745925224.16932106</v>
      </c>
      <c r="BC51" s="18">
        <f t="shared" si="54"/>
        <v>-722029485.78902042</v>
      </c>
      <c r="BD51" s="18">
        <f t="shared" si="55"/>
        <v>-698085217.03548586</v>
      </c>
      <c r="BE51" s="18">
        <f t="shared" si="56"/>
        <v>-674092683.91907227</v>
      </c>
      <c r="BF51" s="18">
        <f t="shared" si="57"/>
        <v>-650052681.23948705</v>
      </c>
      <c r="BG51" s="18">
        <f t="shared" si="58"/>
        <v>-625966523.87291896</v>
      </c>
      <c r="BH51" s="18">
        <f t="shared" si="59"/>
        <v>-601836032.36153257</v>
      </c>
      <c r="BI51" s="18">
        <f t="shared" si="60"/>
        <v>-577663512.96341276</v>
      </c>
      <c r="BJ51" s="18">
        <f t="shared" si="61"/>
        <v>-553451732.38170171</v>
      </c>
      <c r="BK51" s="18">
        <f t="shared" si="62"/>
        <v>-529203887.44993162</v>
      </c>
      <c r="BL51" s="18">
        <f t="shared" si="63"/>
        <v>-504923570.10578102</v>
      </c>
      <c r="BM51" s="18">
        <f t="shared" si="64"/>
        <v>-480614728.03705293</v>
      </c>
      <c r="BN51" s="18">
        <f t="shared" si="65"/>
        <v>-456281621.43105006</v>
      </c>
      <c r="BO51" s="18">
        <f t="shared" si="66"/>
        <v>-431928776.30115712</v>
      </c>
      <c r="BP51" s="18">
        <f t="shared" si="67"/>
        <v>-407560934.90191019</v>
      </c>
      <c r="BQ51" s="18">
        <f t="shared" si="68"/>
        <v>-383183003.77567744</v>
      </c>
      <c r="BR51" s="17">
        <f t="shared" si="69"/>
        <v>-358800000</v>
      </c>
      <c r="BT51" s="33"/>
      <c r="BU51" s="21">
        <v>6.0000000000000005E-2</v>
      </c>
      <c r="BV51" s="17">
        <v>0</v>
      </c>
      <c r="BW51" s="19">
        <f t="shared" ref="BW51:CY51" si="115">$B$20/($B$21-$B$22*BV51)</f>
        <v>0.34883720930232553</v>
      </c>
      <c r="BX51" s="19">
        <f t="shared" si="115"/>
        <v>0.39716748768472904</v>
      </c>
      <c r="BY51" s="19">
        <f t="shared" si="115"/>
        <v>0.40494040593779607</v>
      </c>
      <c r="BZ51" s="19">
        <f t="shared" si="115"/>
        <v>0.4062190081621499</v>
      </c>
      <c r="CA51" s="19">
        <f t="shared" si="115"/>
        <v>0.40643010492156101</v>
      </c>
      <c r="CB51" s="19">
        <f t="shared" si="115"/>
        <v>0.40646497802255066</v>
      </c>
      <c r="CC51" s="19">
        <f t="shared" si="115"/>
        <v>0.40647073962099717</v>
      </c>
      <c r="CD51" s="19">
        <f t="shared" si="115"/>
        <v>0.40647169154566137</v>
      </c>
      <c r="CE51" s="19">
        <f t="shared" si="115"/>
        <v>0.40647184882198806</v>
      </c>
      <c r="CF51" s="19">
        <f t="shared" si="115"/>
        <v>0.40647187480708435</v>
      </c>
      <c r="CG51" s="19">
        <f t="shared" si="115"/>
        <v>0.40647187910032606</v>
      </c>
      <c r="CH51" s="19">
        <f t="shared" si="115"/>
        <v>0.40647187980965277</v>
      </c>
      <c r="CI51" s="19">
        <f t="shared" si="115"/>
        <v>0.4064718799268473</v>
      </c>
      <c r="CJ51" s="19">
        <f t="shared" si="115"/>
        <v>0.40647187994621015</v>
      </c>
      <c r="CK51" s="19">
        <f t="shared" si="115"/>
        <v>0.40647187994940925</v>
      </c>
      <c r="CL51" s="19">
        <f t="shared" si="115"/>
        <v>0.40647187994993778</v>
      </c>
      <c r="CM51" s="19">
        <f t="shared" si="115"/>
        <v>0.40647187995002515</v>
      </c>
      <c r="CN51" s="19">
        <f t="shared" si="115"/>
        <v>0.40647187995003953</v>
      </c>
      <c r="CO51" s="19">
        <f t="shared" si="115"/>
        <v>0.40647187995004191</v>
      </c>
      <c r="CP51" s="19">
        <f t="shared" si="115"/>
        <v>0.40647187995004236</v>
      </c>
      <c r="CQ51" s="19">
        <f t="shared" si="115"/>
        <v>0.40647187995004236</v>
      </c>
      <c r="CR51" s="19">
        <f t="shared" si="115"/>
        <v>0.40647187995004236</v>
      </c>
      <c r="CS51" s="19">
        <f t="shared" si="115"/>
        <v>0.40647187995004236</v>
      </c>
      <c r="CT51" s="19">
        <f t="shared" si="115"/>
        <v>0.40647187995004236</v>
      </c>
      <c r="CU51" s="19">
        <f t="shared" si="115"/>
        <v>0.40647187995004236</v>
      </c>
      <c r="CV51" s="19">
        <f t="shared" si="115"/>
        <v>0.40647187995004236</v>
      </c>
      <c r="CW51" s="19">
        <f t="shared" si="115"/>
        <v>0.40647187995004236</v>
      </c>
      <c r="CX51" s="19">
        <f t="shared" si="115"/>
        <v>0.40647187995004236</v>
      </c>
      <c r="CY51" s="17">
        <f t="shared" si="115"/>
        <v>0.40647187995004236</v>
      </c>
      <c r="CZ51" s="12">
        <f t="shared" si="71"/>
        <v>100</v>
      </c>
      <c r="DB51" s="33"/>
      <c r="DC51" s="21">
        <v>6.0000000000000005E-2</v>
      </c>
      <c r="DD51" s="17">
        <f t="shared" si="72"/>
        <v>300</v>
      </c>
      <c r="DE51" s="19">
        <f t="shared" si="73"/>
        <v>193.37234672308</v>
      </c>
      <c r="DF51" s="19">
        <f t="shared" si="74"/>
        <v>175.56361543453281</v>
      </c>
      <c r="DG51" s="19">
        <f t="shared" si="75"/>
        <v>169.49222450854046</v>
      </c>
      <c r="DH51" s="19">
        <f t="shared" si="76"/>
        <v>165.25651137782756</v>
      </c>
      <c r="DI51" s="19">
        <f t="shared" si="77"/>
        <v>161.31316053711822</v>
      </c>
      <c r="DJ51" s="19">
        <f t="shared" si="78"/>
        <v>157.41388021079561</v>
      </c>
      <c r="DK51" s="19">
        <f t="shared" si="79"/>
        <v>153.518047156519</v>
      </c>
      <c r="DL51" s="19">
        <f t="shared" si="80"/>
        <v>149.61854605573185</v>
      </c>
      <c r="DM51" s="19">
        <f t="shared" si="81"/>
        <v>145.71370985007101</v>
      </c>
      <c r="DN51" s="19">
        <f t="shared" si="82"/>
        <v>141.80280138161945</v>
      </c>
      <c r="DO51" s="19">
        <f t="shared" si="83"/>
        <v>137.88529035706878</v>
      </c>
      <c r="DP51" s="19">
        <f t="shared" si="84"/>
        <v>133.96074140787707</v>
      </c>
      <c r="DQ51" s="19">
        <f t="shared" si="85"/>
        <v>130.02879990891685</v>
      </c>
      <c r="DR51" s="19">
        <f t="shared" si="86"/>
        <v>126.08919281554786</v>
      </c>
      <c r="DS51" s="19">
        <f t="shared" si="87"/>
        <v>122.14173116474181</v>
      </c>
      <c r="DT51" s="19">
        <f t="shared" si="88"/>
        <v>118.18631206602089</v>
      </c>
      <c r="DU51" s="19">
        <f t="shared" si="89"/>
        <v>114.22291981532943</v>
      </c>
      <c r="DV51" s="19">
        <f t="shared" si="90"/>
        <v>110.25162606424087</v>
      </c>
      <c r="DW51" s="19">
        <f t="shared" si="91"/>
        <v>106.27258903378882</v>
      </c>
      <c r="DX51" s="19">
        <f t="shared" si="92"/>
        <v>102.28605178014432</v>
      </c>
      <c r="DY51" s="19">
        <f t="shared" si="93"/>
        <v>98.292339530946535</v>
      </c>
      <c r="DZ51" s="19">
        <f t="shared" si="94"/>
        <v>94.291856121464079</v>
      </c>
      <c r="EA51" s="19">
        <f t="shared" si="95"/>
        <v>90.285079569652154</v>
      </c>
      <c r="EB51" s="19">
        <f t="shared" si="96"/>
        <v>86.27255683860453</v>
      </c>
      <c r="EC51" s="19">
        <f t="shared" si="97"/>
        <v>82.254897843796371</v>
      </c>
      <c r="ED51" s="19">
        <f t="shared" si="98"/>
        <v>78.232768770780723</v>
      </c>
      <c r="EE51" s="19">
        <f t="shared" si="99"/>
        <v>74.206884776548634</v>
      </c>
      <c r="EF51" s="19">
        <f t="shared" si="100"/>
        <v>70.178002154508775</v>
      </c>
      <c r="EG51" s="19">
        <f t="shared" si="101"/>
        <v>66.146910048911224</v>
      </c>
      <c r="EH51" s="17">
        <f t="shared" si="102"/>
        <v>62.114421809470969</v>
      </c>
    </row>
    <row r="52" spans="5:138" x14ac:dyDescent="0.25">
      <c r="E52" s="35"/>
      <c r="F52" s="21">
        <v>5.6666666666666671E-2</v>
      </c>
      <c r="G52" s="14">
        <f t="shared" si="10"/>
        <v>300</v>
      </c>
      <c r="H52" s="15">
        <f t="shared" si="11"/>
        <v>293.46072619709275</v>
      </c>
      <c r="I52" s="15">
        <f t="shared" si="12"/>
        <v>286.92005662046512</v>
      </c>
      <c r="J52" s="15">
        <f t="shared" si="13"/>
        <v>280.37661079013395</v>
      </c>
      <c r="K52" s="15">
        <f t="shared" si="14"/>
        <v>273.82903864596989</v>
      </c>
      <c r="L52" s="15">
        <f t="shared" si="15"/>
        <v>267.27603534041282</v>
      </c>
      <c r="M52" s="15">
        <f t="shared" si="16"/>
        <v>260.71635553566205</v>
      </c>
      <c r="N52" s="15">
        <f t="shared" si="17"/>
        <v>254.14882704865445</v>
      </c>
      <c r="O52" s="15">
        <f t="shared" si="18"/>
        <v>247.57236369429904</v>
      </c>
      <c r="P52" s="15">
        <f t="shared" si="19"/>
        <v>240.98597718623012</v>
      </c>
      <c r="Q52" s="15">
        <f t="shared" si="20"/>
        <v>234.3887879646789</v>
      </c>
      <c r="R52" s="15">
        <f t="shared" si="21"/>
        <v>227.78003483283311</v>
      </c>
      <c r="S52" s="15">
        <f t="shared" si="22"/>
        <v>221.15908329611693</v>
      </c>
      <c r="T52" s="15">
        <f t="shared" si="23"/>
        <v>214.52543251304968</v>
      </c>
      <c r="U52" s="15">
        <f t="shared" si="24"/>
        <v>207.87872078156249</v>
      </c>
      <c r="V52" s="15">
        <f t="shared" si="25"/>
        <v>201.21872950070778</v>
      </c>
      <c r="W52" s="15">
        <f t="shared" si="26"/>
        <v>194.54538556440792</v>
      </c>
      <c r="X52" s="15">
        <f t="shared" si="27"/>
        <v>187.85876216107258</v>
      </c>
      <c r="Y52" s="15">
        <f t="shared" si="28"/>
        <v>181.15907797038295</v>
      </c>
      <c r="Z52" s="15">
        <f t="shared" si="29"/>
        <v>174.44669476610241</v>
      </c>
      <c r="AA52" s="15">
        <f t="shared" si="30"/>
        <v>167.72211345123327</v>
      </c>
      <c r="AB52" s="15">
        <f t="shared" si="31"/>
        <v>160.98596856901139</v>
      </c>
      <c r="AC52" s="15">
        <f t="shared" si="32"/>
        <v>154.23902134992107</v>
      </c>
      <c r="AD52" s="15">
        <f t="shared" si="33"/>
        <v>147.48215137094303</v>
      </c>
      <c r="AE52" s="15">
        <f t="shared" si="34"/>
        <v>140.71634691844315</v>
      </c>
      <c r="AF52" s="15">
        <f t="shared" si="35"/>
        <v>133.94269416030033</v>
      </c>
      <c r="AG52" s="15">
        <f t="shared" si="36"/>
        <v>127.16236524590565</v>
      </c>
      <c r="AH52" s="15">
        <f t="shared" si="37"/>
        <v>120.37660546439972</v>
      </c>
      <c r="AI52" s="15">
        <f t="shared" si="38"/>
        <v>113.58671960182107</v>
      </c>
      <c r="AJ52" s="15">
        <f t="shared" si="103"/>
        <v>106.79405764660467</v>
      </c>
      <c r="AK52" s="14">
        <f t="shared" si="39"/>
        <v>100</v>
      </c>
      <c r="AL52" s="33"/>
      <c r="AM52" s="13">
        <v>5.6666666666666671E-2</v>
      </c>
      <c r="AN52" s="17">
        <f t="shared" si="40"/>
        <v>-1076400000</v>
      </c>
      <c r="AO52" s="18">
        <f t="shared" si="104"/>
        <v>-1052942864.0983709</v>
      </c>
      <c r="AP52" s="18">
        <f t="shared" si="41"/>
        <v>-1029480656.8445616</v>
      </c>
      <c r="AQ52" s="18">
        <f t="shared" si="42"/>
        <v>-1006008362.4542687</v>
      </c>
      <c r="AR52" s="18">
        <f t="shared" si="43"/>
        <v>-982521075.66990733</v>
      </c>
      <c r="AS52" s="18">
        <f t="shared" si="44"/>
        <v>-959014055.50806367</v>
      </c>
      <c r="AT52" s="18">
        <f t="shared" si="45"/>
        <v>-935482777.20649874</v>
      </c>
      <c r="AU52" s="18">
        <f t="shared" si="46"/>
        <v>-911922981.80139184</v>
      </c>
      <c r="AV52" s="18">
        <f t="shared" si="47"/>
        <v>-888330722.79151928</v>
      </c>
      <c r="AW52" s="18">
        <f t="shared" si="48"/>
        <v>-864702409.37801027</v>
      </c>
      <c r="AX52" s="18">
        <f t="shared" si="49"/>
        <v>-841034845.80588758</v>
      </c>
      <c r="AY52" s="18">
        <f t="shared" si="50"/>
        <v>-817325266.37636852</v>
      </c>
      <c r="AZ52" s="18">
        <f t="shared" si="51"/>
        <v>-793571365.74636102</v>
      </c>
      <c r="BA52" s="18">
        <f t="shared" si="52"/>
        <v>-769771324.18328118</v>
      </c>
      <c r="BB52" s="18">
        <f t="shared" si="53"/>
        <v>-745923827.49862778</v>
      </c>
      <c r="BC52" s="18">
        <f t="shared" si="54"/>
        <v>-722028081.44208252</v>
      </c>
      <c r="BD52" s="18">
        <f t="shared" si="55"/>
        <v>-698083820.39862251</v>
      </c>
      <c r="BE52" s="18">
        <f t="shared" si="56"/>
        <v>-674091310.29357505</v>
      </c>
      <c r="BF52" s="18">
        <f t="shared" si="57"/>
        <v>-650051345.67400062</v>
      </c>
      <c r="BG52" s="18">
        <f t="shared" si="58"/>
        <v>-625965240.9986124</v>
      </c>
      <c r="BH52" s="18">
        <f t="shared" si="59"/>
        <v>-601834816.23186517</v>
      </c>
      <c r="BI52" s="18">
        <f t="shared" si="60"/>
        <v>-577662376.90024841</v>
      </c>
      <c r="BJ52" s="18">
        <f t="shared" si="61"/>
        <v>-553450688.82945228</v>
      </c>
      <c r="BK52" s="18">
        <f t="shared" si="62"/>
        <v>-529202947.83932412</v>
      </c>
      <c r="BL52" s="18">
        <f t="shared" si="63"/>
        <v>-504922744.72873616</v>
      </c>
      <c r="BM52" s="18">
        <f t="shared" si="64"/>
        <v>-480614025.93404067</v>
      </c>
      <c r="BN52" s="18">
        <f t="shared" si="65"/>
        <v>-456281050.29215026</v>
      </c>
      <c r="BO52" s="18">
        <f t="shared" si="66"/>
        <v>-431928342.38190734</v>
      </c>
      <c r="BP52" s="18">
        <f t="shared" si="67"/>
        <v>-407560642.95485443</v>
      </c>
      <c r="BQ52" s="18">
        <f t="shared" si="68"/>
        <v>-383182856.99836504</v>
      </c>
      <c r="BR52" s="17">
        <f t="shared" si="69"/>
        <v>-358800000</v>
      </c>
      <c r="BT52" s="33"/>
      <c r="BU52" s="21">
        <v>5.6666666666666671E-2</v>
      </c>
      <c r="BV52" s="17">
        <v>0</v>
      </c>
      <c r="BW52" s="19">
        <f t="shared" ref="BW52:CY52" si="116">$B$20/($B$21-$B$22*BV52)</f>
        <v>0.34883720930232553</v>
      </c>
      <c r="BX52" s="19">
        <f t="shared" si="116"/>
        <v>0.39716748768472904</v>
      </c>
      <c r="BY52" s="19">
        <f t="shared" si="116"/>
        <v>0.40494040593779607</v>
      </c>
      <c r="BZ52" s="19">
        <f t="shared" si="116"/>
        <v>0.4062190081621499</v>
      </c>
      <c r="CA52" s="19">
        <f t="shared" si="116"/>
        <v>0.40643010492156101</v>
      </c>
      <c r="CB52" s="19">
        <f t="shared" si="116"/>
        <v>0.40646497802255066</v>
      </c>
      <c r="CC52" s="19">
        <f t="shared" si="116"/>
        <v>0.40647073962099717</v>
      </c>
      <c r="CD52" s="19">
        <f t="shared" si="116"/>
        <v>0.40647169154566137</v>
      </c>
      <c r="CE52" s="19">
        <f t="shared" si="116"/>
        <v>0.40647184882198806</v>
      </c>
      <c r="CF52" s="19">
        <f t="shared" si="116"/>
        <v>0.40647187480708435</v>
      </c>
      <c r="CG52" s="19">
        <f t="shared" si="116"/>
        <v>0.40647187910032606</v>
      </c>
      <c r="CH52" s="19">
        <f t="shared" si="116"/>
        <v>0.40647187980965277</v>
      </c>
      <c r="CI52" s="19">
        <f t="shared" si="116"/>
        <v>0.4064718799268473</v>
      </c>
      <c r="CJ52" s="19">
        <f t="shared" si="116"/>
        <v>0.40647187994621015</v>
      </c>
      <c r="CK52" s="19">
        <f t="shared" si="116"/>
        <v>0.40647187994940925</v>
      </c>
      <c r="CL52" s="19">
        <f t="shared" si="116"/>
        <v>0.40647187994993778</v>
      </c>
      <c r="CM52" s="19">
        <f t="shared" si="116"/>
        <v>0.40647187995002515</v>
      </c>
      <c r="CN52" s="19">
        <f t="shared" si="116"/>
        <v>0.40647187995003953</v>
      </c>
      <c r="CO52" s="19">
        <f t="shared" si="116"/>
        <v>0.40647187995004191</v>
      </c>
      <c r="CP52" s="19">
        <f t="shared" si="116"/>
        <v>0.40647187995004236</v>
      </c>
      <c r="CQ52" s="19">
        <f t="shared" si="116"/>
        <v>0.40647187995004236</v>
      </c>
      <c r="CR52" s="19">
        <f t="shared" si="116"/>
        <v>0.40647187995004236</v>
      </c>
      <c r="CS52" s="19">
        <f t="shared" si="116"/>
        <v>0.40647187995004236</v>
      </c>
      <c r="CT52" s="19">
        <f t="shared" si="116"/>
        <v>0.40647187995004236</v>
      </c>
      <c r="CU52" s="19">
        <f t="shared" si="116"/>
        <v>0.40647187995004236</v>
      </c>
      <c r="CV52" s="19">
        <f t="shared" si="116"/>
        <v>0.40647187995004236</v>
      </c>
      <c r="CW52" s="19">
        <f t="shared" si="116"/>
        <v>0.40647187995004236</v>
      </c>
      <c r="CX52" s="19">
        <f t="shared" si="116"/>
        <v>0.40647187995004236</v>
      </c>
      <c r="CY52" s="17">
        <f t="shared" si="116"/>
        <v>0.40647187995004236</v>
      </c>
      <c r="CZ52" s="12">
        <f t="shared" si="71"/>
        <v>100</v>
      </c>
      <c r="DB52" s="33"/>
      <c r="DC52" s="21">
        <v>5.6666666666666671E-2</v>
      </c>
      <c r="DD52" s="17">
        <f t="shared" si="72"/>
        <v>300</v>
      </c>
      <c r="DE52" s="19">
        <f t="shared" si="73"/>
        <v>193.37233435274445</v>
      </c>
      <c r="DF52" s="19">
        <f t="shared" si="74"/>
        <v>175.56358250738853</v>
      </c>
      <c r="DG52" s="19">
        <f t="shared" si="75"/>
        <v>169.49216872327847</v>
      </c>
      <c r="DH52" s="19">
        <f t="shared" si="76"/>
        <v>165.25643266447568</v>
      </c>
      <c r="DI52" s="19">
        <f t="shared" si="77"/>
        <v>161.31305960528672</v>
      </c>
      <c r="DJ52" s="19">
        <f t="shared" si="78"/>
        <v>157.41375813487372</v>
      </c>
      <c r="DK52" s="19">
        <f t="shared" si="79"/>
        <v>153.51790526811422</v>
      </c>
      <c r="DL52" s="19">
        <f t="shared" si="80"/>
        <v>149.61838590862794</v>
      </c>
      <c r="DM52" s="19">
        <f t="shared" si="81"/>
        <v>145.71353319908215</v>
      </c>
      <c r="DN52" s="19">
        <f t="shared" si="82"/>
        <v>141.80261016255426</v>
      </c>
      <c r="DO52" s="19">
        <f t="shared" si="83"/>
        <v>137.88508666535492</v>
      </c>
      <c r="DP52" s="19">
        <f t="shared" si="84"/>
        <v>133.96052747555882</v>
      </c>
      <c r="DQ52" s="19">
        <f t="shared" si="85"/>
        <v>130.02857808017981</v>
      </c>
      <c r="DR52" s="19">
        <f t="shared" si="86"/>
        <v>126.08896552102188</v>
      </c>
      <c r="DS52" s="19">
        <f t="shared" si="87"/>
        <v>122.14150089486023</v>
      </c>
      <c r="DT52" s="19">
        <f t="shared" si="88"/>
        <v>118.1860813437285</v>
      </c>
      <c r="DU52" s="19">
        <f t="shared" si="89"/>
        <v>114.22269116843783</v>
      </c>
      <c r="DV52" s="19">
        <f t="shared" si="90"/>
        <v>110.25140199773459</v>
      </c>
      <c r="DW52" s="19">
        <f t="shared" si="91"/>
        <v>106.27237200238541</v>
      </c>
      <c r="DX52" s="19">
        <f t="shared" si="92"/>
        <v>102.28584416140878</v>
      </c>
      <c r="DY52" s="19">
        <f t="shared" si="93"/>
        <v>98.292143599254246</v>
      </c>
      <c r="DZ52" s="19">
        <f t="shared" si="94"/>
        <v>94.291674023097144</v>
      </c>
      <c r="EA52" s="19">
        <f t="shared" si="95"/>
        <v>90.284913299301081</v>
      </c>
      <c r="EB52" s="19">
        <f t="shared" si="96"/>
        <v>86.27240821753233</v>
      </c>
      <c r="EC52" s="19">
        <f t="shared" si="97"/>
        <v>82.25476849990315</v>
      </c>
      <c r="ED52" s="19">
        <f t="shared" si="98"/>
        <v>78.232660120786562</v>
      </c>
      <c r="EE52" s="19">
        <f t="shared" si="99"/>
        <v>74.20679801048918</v>
      </c>
      <c r="EF52" s="19">
        <f t="shared" si="100"/>
        <v>70.17793822271247</v>
      </c>
      <c r="EG52" s="19">
        <f t="shared" si="101"/>
        <v>66.146869651600426</v>
      </c>
      <c r="EH52" s="17">
        <f t="shared" si="102"/>
        <v>62.114405389100114</v>
      </c>
    </row>
    <row r="53" spans="5:138" x14ac:dyDescent="0.25">
      <c r="E53" s="35"/>
      <c r="F53" s="21">
        <v>5.3333333333333337E-2</v>
      </c>
      <c r="G53" s="14">
        <f t="shared" si="10"/>
        <v>300</v>
      </c>
      <c r="H53" s="15">
        <f t="shared" si="11"/>
        <v>293.46068481493558</v>
      </c>
      <c r="I53" s="15">
        <f t="shared" si="12"/>
        <v>286.91997430969298</v>
      </c>
      <c r="J53" s="15">
        <f t="shared" si="13"/>
        <v>280.37648845285531</v>
      </c>
      <c r="K53" s="15">
        <f t="shared" si="14"/>
        <v>273.82887762296309</v>
      </c>
      <c r="L53" s="15">
        <f t="shared" si="15"/>
        <v>267.27583739641773</v>
      </c>
      <c r="M53" s="15">
        <f t="shared" si="16"/>
        <v>260.7161228400214</v>
      </c>
      <c r="N53" s="15">
        <f t="shared" si="17"/>
        <v>254.14856215151895</v>
      </c>
      <c r="O53" s="15">
        <f t="shared" si="18"/>
        <v>247.57206949865713</v>
      </c>
      <c r="P53" s="15">
        <f t="shared" si="19"/>
        <v>240.98565691607081</v>
      </c>
      <c r="Q53" s="15">
        <f t="shared" si="20"/>
        <v>234.38844512963763</v>
      </c>
      <c r="R53" s="15">
        <f t="shared" si="21"/>
        <v>227.77967318970934</v>
      </c>
      <c r="S53" s="15">
        <f t="shared" si="22"/>
        <v>221.15870680768637</v>
      </c>
      <c r="T53" s="15">
        <f t="shared" si="23"/>
        <v>214.52504530462397</v>
      </c>
      <c r="U53" s="15">
        <f t="shared" si="24"/>
        <v>207.87832709577259</v>
      </c>
      <c r="V53" s="15">
        <f t="shared" si="25"/>
        <v>201.21833365100815</v>
      </c>
      <c r="W53" s="15">
        <f t="shared" si="26"/>
        <v>194.54499188781062</v>
      </c>
      <c r="X53" s="15">
        <f t="shared" si="27"/>
        <v>187.85837497063031</v>
      </c>
      <c r="Y53" s="15">
        <f t="shared" si="28"/>
        <v>181.1587015079408</v>
      </c>
      <c r="Z53" s="15">
        <f t="shared" si="29"/>
        <v>174.4463331558361</v>
      </c>
      <c r="AA53" s="15">
        <f t="shared" si="30"/>
        <v>167.72177065448253</v>
      </c>
      <c r="AB53" s="15">
        <f t="shared" si="31"/>
        <v>160.98564834090217</v>
      </c>
      <c r="AC53" s="15">
        <f t="shared" si="32"/>
        <v>154.23872719825104</v>
      </c>
      <c r="AD53" s="15">
        <f t="shared" si="33"/>
        <v>147.4818865177794</v>
      </c>
      <c r="AE53" s="15">
        <f t="shared" si="34"/>
        <v>140.71611426485265</v>
      </c>
      <c r="AF53" s="15">
        <f t="shared" si="35"/>
        <v>133.94249625459582</v>
      </c>
      <c r="AG53" s="15">
        <f t="shared" si="36"/>
        <v>127.16220425575641</v>
      </c>
      <c r="AH53" s="15">
        <f t="shared" si="37"/>
        <v>120.37648315310949</v>
      </c>
      <c r="AI53" s="15">
        <f t="shared" si="38"/>
        <v>113.58663730903243</v>
      </c>
      <c r="AJ53" s="15">
        <f t="shared" si="103"/>
        <v>106.79401627364018</v>
      </c>
      <c r="AK53" s="14">
        <f t="shared" si="39"/>
        <v>100</v>
      </c>
      <c r="AL53" s="33"/>
      <c r="AM53" s="13">
        <v>5.3333333333333337E-2</v>
      </c>
      <c r="AN53" s="17">
        <f t="shared" si="40"/>
        <v>-1076400000</v>
      </c>
      <c r="AO53" s="18">
        <f t="shared" si="104"/>
        <v>-1052942713.7415268</v>
      </c>
      <c r="AP53" s="18">
        <f t="shared" si="41"/>
        <v>-1029480357.778782</v>
      </c>
      <c r="AQ53" s="18">
        <f t="shared" si="42"/>
        <v>-1006007917.9572905</v>
      </c>
      <c r="AR53" s="18">
        <f t="shared" si="43"/>
        <v>-982520490.61333632</v>
      </c>
      <c r="AS53" s="18">
        <f t="shared" si="44"/>
        <v>-959013336.30392981</v>
      </c>
      <c r="AT53" s="18">
        <f t="shared" si="45"/>
        <v>-935481931.73691618</v>
      </c>
      <c r="AU53" s="18">
        <f t="shared" si="46"/>
        <v>-911922019.33209729</v>
      </c>
      <c r="AV53" s="18">
        <f t="shared" si="47"/>
        <v>-888329653.8702414</v>
      </c>
      <c r="AW53" s="18">
        <f t="shared" si="48"/>
        <v>-864701245.71878791</v>
      </c>
      <c r="AX53" s="18">
        <f t="shared" si="49"/>
        <v>-841033600.16060984</v>
      </c>
      <c r="AY53" s="18">
        <f t="shared" si="50"/>
        <v>-817323952.39494872</v>
      </c>
      <c r="AZ53" s="18">
        <f t="shared" si="51"/>
        <v>-793569997.8270824</v>
      </c>
      <c r="BA53" s="18">
        <f t="shared" si="52"/>
        <v>-769769917.31495726</v>
      </c>
      <c r="BB53" s="18">
        <f t="shared" si="53"/>
        <v>-745922397.09631228</v>
      </c>
      <c r="BC53" s="18">
        <f t="shared" si="54"/>
        <v>-722026643.17812991</v>
      </c>
      <c r="BD53" s="18">
        <f t="shared" si="55"/>
        <v>-698082390.03095341</v>
      </c>
      <c r="BE53" s="18">
        <f t="shared" si="56"/>
        <v>-674089903.49302971</v>
      </c>
      <c r="BF53" s="18">
        <f t="shared" si="57"/>
        <v>-650049977.85267055</v>
      </c>
      <c r="BG53" s="18">
        <f t="shared" si="58"/>
        <v>-625963927.14103031</v>
      </c>
      <c r="BH53" s="18">
        <f t="shared" si="59"/>
        <v>-601833570.73090208</v>
      </c>
      <c r="BI53" s="18">
        <f t="shared" si="60"/>
        <v>-577661213.39951038</v>
      </c>
      <c r="BJ53" s="18">
        <f t="shared" si="61"/>
        <v>-553449620.07390165</v>
      </c>
      <c r="BK53" s="18">
        <f t="shared" si="62"/>
        <v>-529201985.53575695</v>
      </c>
      <c r="BL53" s="18">
        <f t="shared" si="63"/>
        <v>-504921899.41763794</v>
      </c>
      <c r="BM53" s="18">
        <f t="shared" si="64"/>
        <v>-480613306.87422162</v>
      </c>
      <c r="BN53" s="18">
        <f t="shared" si="65"/>
        <v>-456280465.35941714</v>
      </c>
      <c r="BO53" s="18">
        <f t="shared" si="66"/>
        <v>-431927897.98287779</v>
      </c>
      <c r="BP53" s="18">
        <f t="shared" si="67"/>
        <v>-407560343.95685351</v>
      </c>
      <c r="BQ53" s="18">
        <f t="shared" si="68"/>
        <v>-383182706.67616749</v>
      </c>
      <c r="BR53" s="17">
        <f t="shared" si="69"/>
        <v>-358800000</v>
      </c>
      <c r="BT53" s="33"/>
      <c r="BU53" s="21">
        <v>5.3333333333333337E-2</v>
      </c>
      <c r="BV53" s="17">
        <v>0</v>
      </c>
      <c r="BW53" s="19">
        <f t="shared" ref="BW53:CY53" si="117">$B$20/($B$21-$B$22*BV53)</f>
        <v>0.34883720930232553</v>
      </c>
      <c r="BX53" s="19">
        <f t="shared" si="117"/>
        <v>0.39716748768472904</v>
      </c>
      <c r="BY53" s="19">
        <f t="shared" si="117"/>
        <v>0.40494040593779607</v>
      </c>
      <c r="BZ53" s="19">
        <f t="shared" si="117"/>
        <v>0.4062190081621499</v>
      </c>
      <c r="CA53" s="19">
        <f t="shared" si="117"/>
        <v>0.40643010492156101</v>
      </c>
      <c r="CB53" s="19">
        <f t="shared" si="117"/>
        <v>0.40646497802255066</v>
      </c>
      <c r="CC53" s="19">
        <f t="shared" si="117"/>
        <v>0.40647073962099717</v>
      </c>
      <c r="CD53" s="19">
        <f t="shared" si="117"/>
        <v>0.40647169154566137</v>
      </c>
      <c r="CE53" s="19">
        <f t="shared" si="117"/>
        <v>0.40647184882198806</v>
      </c>
      <c r="CF53" s="19">
        <f t="shared" si="117"/>
        <v>0.40647187480708435</v>
      </c>
      <c r="CG53" s="19">
        <f t="shared" si="117"/>
        <v>0.40647187910032606</v>
      </c>
      <c r="CH53" s="19">
        <f t="shared" si="117"/>
        <v>0.40647187980965277</v>
      </c>
      <c r="CI53" s="19">
        <f t="shared" si="117"/>
        <v>0.4064718799268473</v>
      </c>
      <c r="CJ53" s="19">
        <f t="shared" si="117"/>
        <v>0.40647187994621015</v>
      </c>
      <c r="CK53" s="19">
        <f t="shared" si="117"/>
        <v>0.40647187994940925</v>
      </c>
      <c r="CL53" s="19">
        <f t="shared" si="117"/>
        <v>0.40647187994993778</v>
      </c>
      <c r="CM53" s="19">
        <f t="shared" si="117"/>
        <v>0.40647187995002515</v>
      </c>
      <c r="CN53" s="19">
        <f t="shared" si="117"/>
        <v>0.40647187995003953</v>
      </c>
      <c r="CO53" s="19">
        <f t="shared" si="117"/>
        <v>0.40647187995004191</v>
      </c>
      <c r="CP53" s="19">
        <f t="shared" si="117"/>
        <v>0.40647187995004236</v>
      </c>
      <c r="CQ53" s="19">
        <f t="shared" si="117"/>
        <v>0.40647187995004236</v>
      </c>
      <c r="CR53" s="19">
        <f t="shared" si="117"/>
        <v>0.40647187995004236</v>
      </c>
      <c r="CS53" s="19">
        <f t="shared" si="117"/>
        <v>0.40647187995004236</v>
      </c>
      <c r="CT53" s="19">
        <f t="shared" si="117"/>
        <v>0.40647187995004236</v>
      </c>
      <c r="CU53" s="19">
        <f t="shared" si="117"/>
        <v>0.40647187995004236</v>
      </c>
      <c r="CV53" s="19">
        <f t="shared" si="117"/>
        <v>0.40647187995004236</v>
      </c>
      <c r="CW53" s="19">
        <f t="shared" si="117"/>
        <v>0.40647187995004236</v>
      </c>
      <c r="CX53" s="19">
        <f t="shared" si="117"/>
        <v>0.40647187995004236</v>
      </c>
      <c r="CY53" s="17">
        <f t="shared" si="117"/>
        <v>0.40647187995004236</v>
      </c>
      <c r="CZ53" s="12">
        <f t="shared" si="71"/>
        <v>100</v>
      </c>
      <c r="DB53" s="33"/>
      <c r="DC53" s="21">
        <v>5.3333333333333337E-2</v>
      </c>
      <c r="DD53" s="17">
        <f t="shared" si="72"/>
        <v>300</v>
      </c>
      <c r="DE53" s="19">
        <f t="shared" si="73"/>
        <v>193.37232168364736</v>
      </c>
      <c r="DF53" s="19">
        <f t="shared" si="74"/>
        <v>175.56354878500599</v>
      </c>
      <c r="DG53" s="19">
        <f t="shared" si="75"/>
        <v>169.49211159072155</v>
      </c>
      <c r="DH53" s="19">
        <f t="shared" si="76"/>
        <v>165.25635205008226</v>
      </c>
      <c r="DI53" s="19">
        <f t="shared" si="77"/>
        <v>161.31295623580525</v>
      </c>
      <c r="DJ53" s="19">
        <f t="shared" si="78"/>
        <v>157.41363311064143</v>
      </c>
      <c r="DK53" s="19">
        <f t="shared" si="79"/>
        <v>153.51775995289887</v>
      </c>
      <c r="DL53" s="19">
        <f t="shared" si="80"/>
        <v>149.61822189373942</v>
      </c>
      <c r="DM53" s="19">
        <f t="shared" si="81"/>
        <v>145.71335228171591</v>
      </c>
      <c r="DN53" s="19">
        <f t="shared" si="82"/>
        <v>141.80241432527151</v>
      </c>
      <c r="DO53" s="19">
        <f t="shared" si="83"/>
        <v>137.88487805419098</v>
      </c>
      <c r="DP53" s="19">
        <f t="shared" si="84"/>
        <v>133.96030837646495</v>
      </c>
      <c r="DQ53" s="19">
        <f t="shared" si="85"/>
        <v>130.02835089395722</v>
      </c>
      <c r="DR53" s="19">
        <f t="shared" si="86"/>
        <v>126.08873273700357</v>
      </c>
      <c r="DS53" s="19">
        <f t="shared" si="87"/>
        <v>122.14126506362717</v>
      </c>
      <c r="DT53" s="19">
        <f t="shared" si="88"/>
        <v>118.18584504915817</v>
      </c>
      <c r="DU53" s="19">
        <f t="shared" si="89"/>
        <v>114.22245699939215</v>
      </c>
      <c r="DV53" s="19">
        <f t="shared" si="90"/>
        <v>110.25117251969718</v>
      </c>
      <c r="DW53" s="19">
        <f t="shared" si="91"/>
        <v>106.2721497293588</v>
      </c>
      <c r="DX53" s="19">
        <f t="shared" si="92"/>
        <v>102.2856315283796</v>
      </c>
      <c r="DY53" s="19">
        <f t="shared" si="93"/>
        <v>98.291942935527359</v>
      </c>
      <c r="DZ53" s="19">
        <f t="shared" si="94"/>
        <v>94.291487526790434</v>
      </c>
      <c r="EA53" s="19">
        <f t="shared" si="95"/>
        <v>90.28474301327978</v>
      </c>
      <c r="EB53" s="19">
        <f t="shared" si="96"/>
        <v>86.272256007045584</v>
      </c>
      <c r="EC53" s="19">
        <f t="shared" si="97"/>
        <v>82.254636032167227</v>
      </c>
      <c r="ED53" s="19">
        <f t="shared" si="98"/>
        <v>78.232548846737387</v>
      </c>
      <c r="EE53" s="19">
        <f t="shared" si="99"/>
        <v>74.206709148903457</v>
      </c>
      <c r="EF53" s="19">
        <f t="shared" si="100"/>
        <v>70.177872746870491</v>
      </c>
      <c r="EG53" s="19">
        <f t="shared" si="101"/>
        <v>66.146828278635951</v>
      </c>
      <c r="EH53" s="17">
        <f t="shared" si="102"/>
        <v>62.114388572153466</v>
      </c>
    </row>
    <row r="54" spans="5:138" x14ac:dyDescent="0.25">
      <c r="E54" s="35"/>
      <c r="F54" s="21">
        <v>0.05</v>
      </c>
      <c r="G54" s="14">
        <f t="shared" si="10"/>
        <v>300</v>
      </c>
      <c r="H54" s="15">
        <f t="shared" si="11"/>
        <v>293.46064294208827</v>
      </c>
      <c r="I54" s="15">
        <f t="shared" si="12"/>
        <v>286.91989102291825</v>
      </c>
      <c r="J54" s="15">
        <f t="shared" si="13"/>
        <v>280.37636466495843</v>
      </c>
      <c r="K54" s="15">
        <f t="shared" si="14"/>
        <v>273.82871469062087</v>
      </c>
      <c r="L54" s="15">
        <f t="shared" si="15"/>
        <v>267.27563710529535</v>
      </c>
      <c r="M54" s="15">
        <f t="shared" si="16"/>
        <v>260.71588738518466</v>
      </c>
      <c r="N54" s="15">
        <f t="shared" si="17"/>
        <v>254.148294113357</v>
      </c>
      <c r="O54" s="15">
        <f t="shared" si="18"/>
        <v>247.57177181458076</v>
      </c>
      <c r="P54" s="15">
        <f t="shared" si="19"/>
        <v>240.98533284829756</v>
      </c>
      <c r="Q54" s="15">
        <f t="shared" si="20"/>
        <v>234.38809822941857</v>
      </c>
      <c r="R54" s="15">
        <f t="shared" si="21"/>
        <v>227.77930725839025</v>
      </c>
      <c r="S54" s="15">
        <f t="shared" si="22"/>
        <v>221.15832585503176</v>
      </c>
      <c r="T54" s="15">
        <f t="shared" si="23"/>
        <v>214.52465350486142</v>
      </c>
      <c r="U54" s="15">
        <f t="shared" si="24"/>
        <v>207.87792874184026</v>
      </c>
      <c r="V54" s="15">
        <f t="shared" si="25"/>
        <v>201.21793310750732</v>
      </c>
      <c r="W54" s="15">
        <f t="shared" si="26"/>
        <v>194.54459354317976</v>
      </c>
      <c r="X54" s="15">
        <f t="shared" si="27"/>
        <v>187.85798318906427</v>
      </c>
      <c r="Y54" s="15">
        <f t="shared" si="28"/>
        <v>181.15832058158242</v>
      </c>
      <c r="Z54" s="15">
        <f t="shared" si="29"/>
        <v>174.4459672577637</v>
      </c>
      <c r="AA54" s="15">
        <f t="shared" si="30"/>
        <v>167.72142379300755</v>
      </c>
      <c r="AB54" s="15">
        <f t="shared" si="31"/>
        <v>160.98532431567713</v>
      </c>
      <c r="AC54" s="15">
        <f t="shared" si="32"/>
        <v>154.23842955866738</v>
      </c>
      <c r="AD54" s="15">
        <f t="shared" si="33"/>
        <v>147.48161852411019</v>
      </c>
      <c r="AE54" s="15">
        <f t="shared" si="34"/>
        <v>140.71587885256403</v>
      </c>
      <c r="AF54" s="15">
        <f t="shared" si="35"/>
        <v>133.9422960022174</v>
      </c>
      <c r="AG54" s="15">
        <f t="shared" si="36"/>
        <v>127.16204135666078</v>
      </c>
      <c r="AH54" s="15">
        <f t="shared" si="37"/>
        <v>120.37635939150886</v>
      </c>
      <c r="AI54" s="15">
        <f t="shared" si="38"/>
        <v>113.58655404045419</v>
      </c>
      <c r="AJ54" s="15">
        <f t="shared" si="103"/>
        <v>106.79397441009434</v>
      </c>
      <c r="AK54" s="14">
        <f t="shared" si="39"/>
        <v>100</v>
      </c>
      <c r="AL54" s="33"/>
      <c r="AM54" s="13">
        <v>0.05</v>
      </c>
      <c r="AN54" s="17">
        <f t="shared" si="40"/>
        <v>-1076400000</v>
      </c>
      <c r="AO54" s="18">
        <f t="shared" si="104"/>
        <v>-1052942561.6018217</v>
      </c>
      <c r="AP54" s="18">
        <f t="shared" si="41"/>
        <v>-1029480055.16682</v>
      </c>
      <c r="AQ54" s="18">
        <f t="shared" si="42"/>
        <v>-1006007468.189675</v>
      </c>
      <c r="AR54" s="18">
        <f t="shared" si="43"/>
        <v>-982519898.61943805</v>
      </c>
      <c r="AS54" s="18">
        <f t="shared" si="44"/>
        <v>-959012608.57180989</v>
      </c>
      <c r="AT54" s="18">
        <f t="shared" si="45"/>
        <v>-935481076.24215066</v>
      </c>
      <c r="AU54" s="18">
        <f t="shared" si="46"/>
        <v>-911921045.45029199</v>
      </c>
      <c r="AV54" s="18">
        <f t="shared" si="47"/>
        <v>-888328572.27419472</v>
      </c>
      <c r="AW54" s="18">
        <f t="shared" si="48"/>
        <v>-864700068.26143825</v>
      </c>
      <c r="AX54" s="18">
        <f t="shared" si="49"/>
        <v>-841032339.74505222</v>
      </c>
      <c r="AY54" s="18">
        <f t="shared" si="50"/>
        <v>-817322622.83295083</v>
      </c>
      <c r="AZ54" s="18">
        <f t="shared" si="51"/>
        <v>-793568613.68765545</v>
      </c>
      <c r="BA54" s="18">
        <f t="shared" si="52"/>
        <v>-769768493.76464534</v>
      </c>
      <c r="BB54" s="18">
        <f t="shared" si="53"/>
        <v>-745920949.73295343</v>
      </c>
      <c r="BC54" s="18">
        <f t="shared" si="54"/>
        <v>-722025187.85991406</v>
      </c>
      <c r="BD54" s="18">
        <f t="shared" si="55"/>
        <v>-698080942.70265138</v>
      </c>
      <c r="BE54" s="18">
        <f t="shared" si="56"/>
        <v>-674088480.01129937</v>
      </c>
      <c r="BF54" s="18">
        <f t="shared" si="57"/>
        <v>-650048593.81235254</v>
      </c>
      <c r="BG54" s="18">
        <f t="shared" si="58"/>
        <v>-625962597.704337</v>
      </c>
      <c r="BH54" s="18">
        <f t="shared" si="59"/>
        <v>-601832310.46136856</v>
      </c>
      <c r="BI54" s="18">
        <f t="shared" si="60"/>
        <v>-577660036.10252213</v>
      </c>
      <c r="BJ54" s="18">
        <f t="shared" si="61"/>
        <v>-553448538.64554524</v>
      </c>
      <c r="BK54" s="18">
        <f t="shared" si="62"/>
        <v>-529201011.8216418</v>
      </c>
      <c r="BL54" s="18">
        <f t="shared" si="63"/>
        <v>-504921044.08323389</v>
      </c>
      <c r="BM54" s="18">
        <f t="shared" si="64"/>
        <v>-480612579.28812563</v>
      </c>
      <c r="BN54" s="18">
        <f t="shared" si="65"/>
        <v>-456279873.49082369</v>
      </c>
      <c r="BO54" s="18">
        <f t="shared" si="66"/>
        <v>-431927448.31437129</v>
      </c>
      <c r="BP54" s="18">
        <f t="shared" si="67"/>
        <v>-407560041.41347331</v>
      </c>
      <c r="BQ54" s="18">
        <f t="shared" si="68"/>
        <v>-383182554.5715192</v>
      </c>
      <c r="BR54" s="17">
        <f t="shared" si="69"/>
        <v>-358800000</v>
      </c>
      <c r="BT54" s="33"/>
      <c r="BU54" s="21">
        <v>0.05</v>
      </c>
      <c r="BV54" s="17">
        <v>0</v>
      </c>
      <c r="BW54" s="19">
        <f t="shared" ref="BW54:CY54" si="118">$B$20/($B$21-$B$22*BV54)</f>
        <v>0.34883720930232553</v>
      </c>
      <c r="BX54" s="19">
        <f t="shared" si="118"/>
        <v>0.39716748768472904</v>
      </c>
      <c r="BY54" s="19">
        <f t="shared" si="118"/>
        <v>0.40494040593779607</v>
      </c>
      <c r="BZ54" s="19">
        <f t="shared" si="118"/>
        <v>0.4062190081621499</v>
      </c>
      <c r="CA54" s="19">
        <f t="shared" si="118"/>
        <v>0.40643010492156101</v>
      </c>
      <c r="CB54" s="19">
        <f t="shared" si="118"/>
        <v>0.40646497802255066</v>
      </c>
      <c r="CC54" s="19">
        <f t="shared" si="118"/>
        <v>0.40647073962099717</v>
      </c>
      <c r="CD54" s="19">
        <f t="shared" si="118"/>
        <v>0.40647169154566137</v>
      </c>
      <c r="CE54" s="19">
        <f t="shared" si="118"/>
        <v>0.40647184882198806</v>
      </c>
      <c r="CF54" s="19">
        <f t="shared" si="118"/>
        <v>0.40647187480708435</v>
      </c>
      <c r="CG54" s="19">
        <f t="shared" si="118"/>
        <v>0.40647187910032606</v>
      </c>
      <c r="CH54" s="19">
        <f t="shared" si="118"/>
        <v>0.40647187980965277</v>
      </c>
      <c r="CI54" s="19">
        <f t="shared" si="118"/>
        <v>0.4064718799268473</v>
      </c>
      <c r="CJ54" s="19">
        <f t="shared" si="118"/>
        <v>0.40647187994621015</v>
      </c>
      <c r="CK54" s="19">
        <f t="shared" si="118"/>
        <v>0.40647187994940925</v>
      </c>
      <c r="CL54" s="19">
        <f t="shared" si="118"/>
        <v>0.40647187994993778</v>
      </c>
      <c r="CM54" s="19">
        <f t="shared" si="118"/>
        <v>0.40647187995002515</v>
      </c>
      <c r="CN54" s="19">
        <f t="shared" si="118"/>
        <v>0.40647187995003953</v>
      </c>
      <c r="CO54" s="19">
        <f t="shared" si="118"/>
        <v>0.40647187995004191</v>
      </c>
      <c r="CP54" s="19">
        <f t="shared" si="118"/>
        <v>0.40647187995004236</v>
      </c>
      <c r="CQ54" s="19">
        <f t="shared" si="118"/>
        <v>0.40647187995004236</v>
      </c>
      <c r="CR54" s="19">
        <f t="shared" si="118"/>
        <v>0.40647187995004236</v>
      </c>
      <c r="CS54" s="19">
        <f t="shared" si="118"/>
        <v>0.40647187995004236</v>
      </c>
      <c r="CT54" s="19">
        <f t="shared" si="118"/>
        <v>0.40647187995004236</v>
      </c>
      <c r="CU54" s="19">
        <f t="shared" si="118"/>
        <v>0.40647187995004236</v>
      </c>
      <c r="CV54" s="19">
        <f t="shared" si="118"/>
        <v>0.40647187995004236</v>
      </c>
      <c r="CW54" s="19">
        <f t="shared" si="118"/>
        <v>0.40647187995004236</v>
      </c>
      <c r="CX54" s="19">
        <f t="shared" si="118"/>
        <v>0.40647187995004236</v>
      </c>
      <c r="CY54" s="17">
        <f t="shared" si="118"/>
        <v>0.40647187995004236</v>
      </c>
      <c r="CZ54" s="12">
        <f t="shared" si="71"/>
        <v>100</v>
      </c>
      <c r="DB54" s="33"/>
      <c r="DC54" s="21">
        <v>0.05</v>
      </c>
      <c r="DD54" s="17">
        <f t="shared" si="72"/>
        <v>300</v>
      </c>
      <c r="DE54" s="19">
        <f t="shared" si="73"/>
        <v>193.37230886432607</v>
      </c>
      <c r="DF54" s="19">
        <f t="shared" si="74"/>
        <v>175.56351466275925</v>
      </c>
      <c r="DG54" s="19">
        <f t="shared" si="75"/>
        <v>169.49205378071349</v>
      </c>
      <c r="DH54" s="19">
        <f t="shared" si="76"/>
        <v>165.25627047980109</v>
      </c>
      <c r="DI54" s="19">
        <f t="shared" si="77"/>
        <v>161.31285164061683</v>
      </c>
      <c r="DJ54" s="19">
        <f t="shared" si="78"/>
        <v>157.41350660393024</v>
      </c>
      <c r="DK54" s="19">
        <f t="shared" si="79"/>
        <v>153.51761291460363</v>
      </c>
      <c r="DL54" s="19">
        <f t="shared" si="80"/>
        <v>149.61805593403901</v>
      </c>
      <c r="DM54" s="19">
        <f t="shared" si="81"/>
        <v>145.71316921911605</v>
      </c>
      <c r="DN54" s="19">
        <f t="shared" si="82"/>
        <v>141.80221616584177</v>
      </c>
      <c r="DO54" s="19">
        <f t="shared" si="83"/>
        <v>137.88466696941327</v>
      </c>
      <c r="DP54" s="19">
        <f t="shared" si="84"/>
        <v>133.96008667939634</v>
      </c>
      <c r="DQ54" s="19">
        <f t="shared" si="85"/>
        <v>130.02812101386641</v>
      </c>
      <c r="DR54" s="19">
        <f t="shared" si="86"/>
        <v>126.08849719274099</v>
      </c>
      <c r="DS54" s="19">
        <f t="shared" si="87"/>
        <v>122.14102643601734</v>
      </c>
      <c r="DT54" s="19">
        <f t="shared" si="88"/>
        <v>118.18560595271701</v>
      </c>
      <c r="DU54" s="19">
        <f t="shared" si="89"/>
        <v>114.22222005367914</v>
      </c>
      <c r="DV54" s="19">
        <f t="shared" si="90"/>
        <v>110.25094032061617</v>
      </c>
      <c r="DW54" s="19">
        <f t="shared" si="91"/>
        <v>106.27192482072222</v>
      </c>
      <c r="DX54" s="19">
        <f t="shared" si="92"/>
        <v>102.285416374047</v>
      </c>
      <c r="DY54" s="19">
        <f t="shared" si="93"/>
        <v>98.291739892423408</v>
      </c>
      <c r="DZ54" s="19">
        <f t="shared" si="94"/>
        <v>94.291298819097321</v>
      </c>
      <c r="EA54" s="19">
        <f t="shared" si="95"/>
        <v>90.284570708086079</v>
      </c>
      <c r="EB54" s="19">
        <f t="shared" si="96"/>
        <v>86.272101991717676</v>
      </c>
      <c r="EC54" s="19">
        <f t="shared" si="97"/>
        <v>82.254501993690468</v>
      </c>
      <c r="ED54" s="19">
        <f t="shared" si="98"/>
        <v>78.232436253252246</v>
      </c>
      <c r="EE54" s="19">
        <f t="shared" si="99"/>
        <v>74.206619233638364</v>
      </c>
      <c r="EF54" s="19">
        <f t="shared" si="100"/>
        <v>70.177806494646433</v>
      </c>
      <c r="EG54" s="19">
        <f t="shared" si="101"/>
        <v>66.146786415090091</v>
      </c>
      <c r="EH54" s="17">
        <f t="shared" si="102"/>
        <v>62.114371555799273</v>
      </c>
    </row>
    <row r="55" spans="5:138" x14ac:dyDescent="0.25">
      <c r="E55" s="35"/>
      <c r="F55" s="21">
        <v>4.6666666666666669E-2</v>
      </c>
      <c r="G55" s="14">
        <f t="shared" si="10"/>
        <v>300</v>
      </c>
      <c r="H55" s="15">
        <f t="shared" si="11"/>
        <v>293.4606010694755</v>
      </c>
      <c r="I55" s="15">
        <f t="shared" si="12"/>
        <v>286.91980773661027</v>
      </c>
      <c r="J55" s="15">
        <f t="shared" si="13"/>
        <v>280.37624087775544</v>
      </c>
      <c r="K55" s="15">
        <f t="shared" si="14"/>
        <v>273.8285517591919</v>
      </c>
      <c r="L55" s="15">
        <f t="shared" si="15"/>
        <v>267.27543681529551</v>
      </c>
      <c r="M55" s="15">
        <f t="shared" si="16"/>
        <v>260.71565193166759</v>
      </c>
      <c r="N55" s="15">
        <f t="shared" si="17"/>
        <v>254.14802607669736</v>
      </c>
      <c r="O55" s="15">
        <f t="shared" si="18"/>
        <v>247.57147413217285</v>
      </c>
      <c r="P55" s="15">
        <f t="shared" si="19"/>
        <v>240.98500878234063</v>
      </c>
      <c r="Q55" s="15">
        <f t="shared" si="20"/>
        <v>234.3877513311437</v>
      </c>
      <c r="R55" s="15">
        <f t="shared" si="21"/>
        <v>227.77894132912195</v>
      </c>
      <c r="S55" s="15">
        <f t="shared" si="22"/>
        <v>221.15794490451208</v>
      </c>
      <c r="T55" s="15">
        <f t="shared" si="23"/>
        <v>214.52426170729458</v>
      </c>
      <c r="U55" s="15">
        <f t="shared" si="24"/>
        <v>207.87753039014029</v>
      </c>
      <c r="V55" s="15">
        <f t="shared" si="25"/>
        <v>201.21753256625112</v>
      </c>
      <c r="W55" s="15">
        <f t="shared" si="26"/>
        <v>194.54419520078116</v>
      </c>
      <c r="X55" s="15">
        <f t="shared" si="27"/>
        <v>187.85759140969361</v>
      </c>
      <c r="Y55" s="15">
        <f t="shared" si="28"/>
        <v>181.15793965735855</v>
      </c>
      <c r="Z55" s="15">
        <f t="shared" si="29"/>
        <v>174.44560136174152</v>
      </c>
      <c r="AA55" s="15">
        <f t="shared" si="30"/>
        <v>167.72107693347613</v>
      </c>
      <c r="AB55" s="15">
        <f t="shared" si="31"/>
        <v>160.98500029226761</v>
      </c>
      <c r="AC55" s="15">
        <f t="shared" si="32"/>
        <v>154.23813192075141</v>
      </c>
      <c r="AD55" s="15">
        <f t="shared" si="33"/>
        <v>147.48135053194252</v>
      </c>
      <c r="AE55" s="15">
        <f t="shared" si="34"/>
        <v>140.71564344159444</v>
      </c>
      <c r="AF55" s="15">
        <f t="shared" si="35"/>
        <v>133.94209575096102</v>
      </c>
      <c r="AG55" s="15">
        <f t="shared" si="36"/>
        <v>127.16187845847787</v>
      </c>
      <c r="AH55" s="15">
        <f t="shared" si="37"/>
        <v>120.37623563060163</v>
      </c>
      <c r="AI55" s="15">
        <f t="shared" si="38"/>
        <v>113.58647077234247</v>
      </c>
      <c r="AJ55" s="15">
        <f t="shared" si="103"/>
        <v>106.79393254678303</v>
      </c>
      <c r="AK55" s="14">
        <f t="shared" si="39"/>
        <v>100</v>
      </c>
      <c r="AL55" s="33"/>
      <c r="AM55" s="13">
        <v>4.6666666666666669E-2</v>
      </c>
      <c r="AN55" s="17">
        <f t="shared" si="40"/>
        <v>-1076400000</v>
      </c>
      <c r="AO55" s="18">
        <f t="shared" si="104"/>
        <v>-1052942409.4629693</v>
      </c>
      <c r="AP55" s="18">
        <f t="shared" si="41"/>
        <v>-1029479752.5565546</v>
      </c>
      <c r="AQ55" s="18">
        <f t="shared" si="42"/>
        <v>-1006007018.4245807</v>
      </c>
      <c r="AR55" s="18">
        <f t="shared" si="43"/>
        <v>-982519306.62885833</v>
      </c>
      <c r="AS55" s="18">
        <f t="shared" si="44"/>
        <v>-959011880.84376884</v>
      </c>
      <c r="AT55" s="18">
        <f t="shared" si="45"/>
        <v>-935480220.7521801</v>
      </c>
      <c r="AU55" s="18">
        <f t="shared" si="46"/>
        <v>-911920071.57394481</v>
      </c>
      <c r="AV55" s="18">
        <f t="shared" si="47"/>
        <v>-888327490.68421006</v>
      </c>
      <c r="AW55" s="18">
        <f t="shared" si="48"/>
        <v>-864698890.8106879</v>
      </c>
      <c r="AX55" s="18">
        <f t="shared" si="49"/>
        <v>-841031079.33655858</v>
      </c>
      <c r="AY55" s="18">
        <f t="shared" si="50"/>
        <v>-817321293.27840447</v>
      </c>
      <c r="AZ55" s="18">
        <f t="shared" si="51"/>
        <v>-793567229.55598557</v>
      </c>
      <c r="BA55" s="18">
        <f t="shared" si="52"/>
        <v>-769767070.22231138</v>
      </c>
      <c r="BB55" s="18">
        <f t="shared" si="53"/>
        <v>-745919502.37770569</v>
      </c>
      <c r="BC55" s="18">
        <f t="shared" si="54"/>
        <v>-722023732.54985344</v>
      </c>
      <c r="BD55" s="18">
        <f t="shared" si="55"/>
        <v>-698079495.38245988</v>
      </c>
      <c r="BE55" s="18">
        <f t="shared" si="56"/>
        <v>-674087056.53754556</v>
      </c>
      <c r="BF55" s="18">
        <f t="shared" si="57"/>
        <v>-650047209.77978969</v>
      </c>
      <c r="BG55" s="18">
        <f t="shared" si="58"/>
        <v>-625961268.27509308</v>
      </c>
      <c r="BH55" s="18">
        <f t="shared" si="59"/>
        <v>-601831050.19889653</v>
      </c>
      <c r="BI55" s="18">
        <f t="shared" si="60"/>
        <v>-577658858.81213045</v>
      </c>
      <c r="BJ55" s="18">
        <f t="shared" si="61"/>
        <v>-553447457.223248</v>
      </c>
      <c r="BK55" s="18">
        <f t="shared" si="62"/>
        <v>-529200038.11298227</v>
      </c>
      <c r="BL55" s="18">
        <f t="shared" si="63"/>
        <v>-504920188.75362211</v>
      </c>
      <c r="BM55" s="18">
        <f t="shared" si="64"/>
        <v>-480611851.70610607</v>
      </c>
      <c r="BN55" s="18">
        <f t="shared" si="65"/>
        <v>-456279281.62554622</v>
      </c>
      <c r="BO55" s="18">
        <f t="shared" si="66"/>
        <v>-431926998.64838403</v>
      </c>
      <c r="BP55" s="18">
        <f t="shared" si="67"/>
        <v>-407559738.87178814</v>
      </c>
      <c r="BQ55" s="18">
        <f t="shared" si="68"/>
        <v>-383182402.46772313</v>
      </c>
      <c r="BR55" s="17">
        <f t="shared" si="69"/>
        <v>-358800000</v>
      </c>
      <c r="BT55" s="33"/>
      <c r="BU55" s="21">
        <v>4.6666666666666669E-2</v>
      </c>
      <c r="BV55" s="17">
        <v>0</v>
      </c>
      <c r="BW55" s="19">
        <f t="shared" ref="BW55:CY55" si="119">$B$20/($B$21-$B$22*BV55)</f>
        <v>0.34883720930232553</v>
      </c>
      <c r="BX55" s="19">
        <f t="shared" si="119"/>
        <v>0.39716748768472904</v>
      </c>
      <c r="BY55" s="19">
        <f t="shared" si="119"/>
        <v>0.40494040593779607</v>
      </c>
      <c r="BZ55" s="19">
        <f t="shared" si="119"/>
        <v>0.4062190081621499</v>
      </c>
      <c r="CA55" s="19">
        <f t="shared" si="119"/>
        <v>0.40643010492156101</v>
      </c>
      <c r="CB55" s="19">
        <f t="shared" si="119"/>
        <v>0.40646497802255066</v>
      </c>
      <c r="CC55" s="19">
        <f t="shared" si="119"/>
        <v>0.40647073962099717</v>
      </c>
      <c r="CD55" s="19">
        <f t="shared" si="119"/>
        <v>0.40647169154566137</v>
      </c>
      <c r="CE55" s="19">
        <f t="shared" si="119"/>
        <v>0.40647184882198806</v>
      </c>
      <c r="CF55" s="19">
        <f t="shared" si="119"/>
        <v>0.40647187480708435</v>
      </c>
      <c r="CG55" s="19">
        <f t="shared" si="119"/>
        <v>0.40647187910032606</v>
      </c>
      <c r="CH55" s="19">
        <f t="shared" si="119"/>
        <v>0.40647187980965277</v>
      </c>
      <c r="CI55" s="19">
        <f t="shared" si="119"/>
        <v>0.4064718799268473</v>
      </c>
      <c r="CJ55" s="19">
        <f t="shared" si="119"/>
        <v>0.40647187994621015</v>
      </c>
      <c r="CK55" s="19">
        <f t="shared" si="119"/>
        <v>0.40647187994940925</v>
      </c>
      <c r="CL55" s="19">
        <f t="shared" si="119"/>
        <v>0.40647187994993778</v>
      </c>
      <c r="CM55" s="19">
        <f t="shared" si="119"/>
        <v>0.40647187995002515</v>
      </c>
      <c r="CN55" s="19">
        <f t="shared" si="119"/>
        <v>0.40647187995003953</v>
      </c>
      <c r="CO55" s="19">
        <f t="shared" si="119"/>
        <v>0.40647187995004191</v>
      </c>
      <c r="CP55" s="19">
        <f t="shared" si="119"/>
        <v>0.40647187995004236</v>
      </c>
      <c r="CQ55" s="19">
        <f t="shared" si="119"/>
        <v>0.40647187995004236</v>
      </c>
      <c r="CR55" s="19">
        <f t="shared" si="119"/>
        <v>0.40647187995004236</v>
      </c>
      <c r="CS55" s="19">
        <f t="shared" si="119"/>
        <v>0.40647187995004236</v>
      </c>
      <c r="CT55" s="19">
        <f t="shared" si="119"/>
        <v>0.40647187995004236</v>
      </c>
      <c r="CU55" s="19">
        <f t="shared" si="119"/>
        <v>0.40647187995004236</v>
      </c>
      <c r="CV55" s="19">
        <f t="shared" si="119"/>
        <v>0.40647187995004236</v>
      </c>
      <c r="CW55" s="19">
        <f t="shared" si="119"/>
        <v>0.40647187995004236</v>
      </c>
      <c r="CX55" s="19">
        <f t="shared" si="119"/>
        <v>0.40647187995004236</v>
      </c>
      <c r="CY55" s="17">
        <f t="shared" si="119"/>
        <v>0.40647187995004236</v>
      </c>
      <c r="CZ55" s="12">
        <f t="shared" si="71"/>
        <v>100</v>
      </c>
      <c r="DB55" s="33"/>
      <c r="DC55" s="21">
        <v>4.6666666666666669E-2</v>
      </c>
      <c r="DD55" s="17">
        <f t="shared" si="72"/>
        <v>300</v>
      </c>
      <c r="DE55" s="19">
        <f t="shared" si="73"/>
        <v>193.37229604507661</v>
      </c>
      <c r="DF55" s="19">
        <f t="shared" si="74"/>
        <v>175.56348054070372</v>
      </c>
      <c r="DG55" s="19">
        <f t="shared" si="75"/>
        <v>169.4919959710295</v>
      </c>
      <c r="DH55" s="19">
        <f t="shared" si="76"/>
        <v>165.25618890997717</v>
      </c>
      <c r="DI55" s="19">
        <f t="shared" si="77"/>
        <v>161.31274704601466</v>
      </c>
      <c r="DJ55" s="19">
        <f t="shared" si="78"/>
        <v>157.41338009792815</v>
      </c>
      <c r="DK55" s="19">
        <f t="shared" si="79"/>
        <v>153.51746587713251</v>
      </c>
      <c r="DL55" s="19">
        <f t="shared" si="80"/>
        <v>149.61788997526878</v>
      </c>
      <c r="DM55" s="19">
        <f t="shared" si="81"/>
        <v>145.71298615754225</v>
      </c>
      <c r="DN55" s="19">
        <f t="shared" si="82"/>
        <v>141.80201800752263</v>
      </c>
      <c r="DO55" s="19">
        <f t="shared" si="83"/>
        <v>137.88445588581854</v>
      </c>
      <c r="DP55" s="19">
        <f t="shared" si="84"/>
        <v>133.95986498357016</v>
      </c>
      <c r="DQ55" s="19">
        <f t="shared" si="85"/>
        <v>130.02789113506392</v>
      </c>
      <c r="DR55" s="19">
        <f t="shared" si="86"/>
        <v>126.08826164979844</v>
      </c>
      <c r="DS55" s="19">
        <f t="shared" si="87"/>
        <v>122.14078780974475</v>
      </c>
      <c r="DT55" s="19">
        <f t="shared" si="88"/>
        <v>118.18536685761572</v>
      </c>
      <c r="DU55" s="19">
        <f t="shared" si="89"/>
        <v>114.22198310929387</v>
      </c>
      <c r="DV55" s="19">
        <f t="shared" si="90"/>
        <v>110.25070812283629</v>
      </c>
      <c r="DW55" s="19">
        <f t="shared" si="91"/>
        <v>106.27169991334588</v>
      </c>
      <c r="DX55" s="19">
        <f t="shared" si="92"/>
        <v>102.28520122091999</v>
      </c>
      <c r="DY55" s="19">
        <f t="shared" si="93"/>
        <v>98.291536850457163</v>
      </c>
      <c r="DZ55" s="19">
        <f t="shared" si="94"/>
        <v>94.291110112461567</v>
      </c>
      <c r="EA55" s="19">
        <f t="shared" si="95"/>
        <v>90.284398403857793</v>
      </c>
      <c r="EB55" s="19">
        <f t="shared" si="96"/>
        <v>86.271947977252722</v>
      </c>
      <c r="EC55" s="19">
        <f t="shared" si="97"/>
        <v>82.25436795596471</v>
      </c>
      <c r="ED55" s="19">
        <f t="shared" si="98"/>
        <v>78.232323660397952</v>
      </c>
      <c r="EE55" s="19">
        <f t="shared" si="99"/>
        <v>74.206529318877045</v>
      </c>
      <c r="EF55" s="19">
        <f t="shared" si="100"/>
        <v>70.177740242793561</v>
      </c>
      <c r="EG55" s="19">
        <f t="shared" si="101"/>
        <v>66.146744551778781</v>
      </c>
      <c r="EH55" s="17">
        <f t="shared" si="102"/>
        <v>62.114354539540422</v>
      </c>
    </row>
    <row r="56" spans="5:138" x14ac:dyDescent="0.25">
      <c r="E56" s="35"/>
      <c r="F56" s="21">
        <v>4.3333333333333335E-2</v>
      </c>
      <c r="G56" s="14">
        <f t="shared" si="10"/>
        <v>300</v>
      </c>
      <c r="H56" s="15">
        <f t="shared" si="11"/>
        <v>293.46055968801159</v>
      </c>
      <c r="I56" s="15">
        <f t="shared" si="12"/>
        <v>286.91972542721686</v>
      </c>
      <c r="J56" s="15">
        <f t="shared" si="13"/>
        <v>280.37611854252594</v>
      </c>
      <c r="K56" s="15">
        <f t="shared" si="14"/>
        <v>273.82839073888215</v>
      </c>
      <c r="L56" s="15">
        <f t="shared" si="15"/>
        <v>267.27523887461575</v>
      </c>
      <c r="M56" s="15">
        <f t="shared" si="16"/>
        <v>260.7154192399243</v>
      </c>
      <c r="N56" s="15">
        <f t="shared" si="17"/>
        <v>254.14776118399851</v>
      </c>
      <c r="O56" s="15">
        <f t="shared" si="18"/>
        <v>247.57117994145818</v>
      </c>
      <c r="P56" s="15">
        <f t="shared" si="19"/>
        <v>240.98468851754518</v>
      </c>
      <c r="Q56" s="15">
        <f t="shared" si="20"/>
        <v>234.38740850184408</v>
      </c>
      <c r="R56" s="15">
        <f t="shared" si="21"/>
        <v>227.77857969205465</v>
      </c>
      <c r="S56" s="15">
        <f t="shared" si="22"/>
        <v>221.1575684223865</v>
      </c>
      <c r="T56" s="15">
        <f t="shared" si="23"/>
        <v>214.52387450535315</v>
      </c>
      <c r="U56" s="15">
        <f t="shared" si="24"/>
        <v>207.87713671094298</v>
      </c>
      <c r="V56" s="15">
        <f t="shared" si="25"/>
        <v>201.21713672318015</v>
      </c>
      <c r="W56" s="15">
        <f t="shared" si="26"/>
        <v>194.54380153077602</v>
      </c>
      <c r="X56" s="15">
        <f t="shared" si="27"/>
        <v>187.85720422573473</v>
      </c>
      <c r="Y56" s="15">
        <f t="shared" si="28"/>
        <v>181.15756320121994</v>
      </c>
      <c r="Z56" s="15">
        <f t="shared" si="29"/>
        <v>174.44523975752995</v>
      </c>
      <c r="AA56" s="15">
        <f t="shared" si="30"/>
        <v>167.72073414246498</v>
      </c>
      <c r="AB56" s="15">
        <f t="shared" si="31"/>
        <v>160.98468006952001</v>
      </c>
      <c r="AC56" s="15">
        <f t="shared" si="32"/>
        <v>154.23783777400627</v>
      </c>
      <c r="AD56" s="15">
        <f t="shared" si="33"/>
        <v>147.48108568321314</v>
      </c>
      <c r="AE56" s="15">
        <f t="shared" si="34"/>
        <v>140.71541079189896</v>
      </c>
      <c r="AF56" s="15">
        <f t="shared" si="35"/>
        <v>133.94189784856974</v>
      </c>
      <c r="AG56" s="15">
        <f t="shared" si="36"/>
        <v>127.16171747102383</v>
      </c>
      <c r="AH56" s="15">
        <f t="shared" si="37"/>
        <v>120.37611332135907</v>
      </c>
      <c r="AI56" s="15">
        <f t="shared" ref="AI56:AI69" si="120">CX56*AJ56+EF56</f>
        <v>113.58638848093155</v>
      </c>
      <c r="AJ56" s="15">
        <f t="shared" si="103"/>
        <v>106.79389117451117</v>
      </c>
      <c r="AK56" s="14">
        <f t="shared" si="39"/>
        <v>100</v>
      </c>
      <c r="AL56" s="33"/>
      <c r="AM56" s="13">
        <v>4.3333333333333335E-2</v>
      </c>
      <c r="AN56" s="17">
        <f t="shared" si="40"/>
        <v>-1076400000</v>
      </c>
      <c r="AO56" s="18">
        <f t="shared" si="104"/>
        <v>-1052942259.1086438</v>
      </c>
      <c r="AP56" s="18">
        <f t="shared" si="41"/>
        <v>-1029479453.4957843</v>
      </c>
      <c r="AQ56" s="18">
        <f t="shared" si="42"/>
        <v>-1006006573.9350476</v>
      </c>
      <c r="AR56" s="18">
        <f t="shared" si="43"/>
        <v>-982518721.58208668</v>
      </c>
      <c r="AS56" s="18">
        <f t="shared" si="44"/>
        <v>-959011161.65168118</v>
      </c>
      <c r="AT56" s="18">
        <f t="shared" si="45"/>
        <v>-935479375.29675841</v>
      </c>
      <c r="AU56" s="18">
        <f t="shared" si="46"/>
        <v>-911919109.12077045</v>
      </c>
      <c r="AV56" s="18">
        <f t="shared" si="47"/>
        <v>-888326421.78083491</v>
      </c>
      <c r="AW56" s="18">
        <f t="shared" si="48"/>
        <v>-864697727.17095447</v>
      </c>
      <c r="AX56" s="18">
        <f t="shared" si="49"/>
        <v>-841029833.71214223</v>
      </c>
      <c r="AY56" s="18">
        <f t="shared" si="50"/>
        <v>-817319979.31898999</v>
      </c>
      <c r="AZ56" s="18">
        <f t="shared" si="51"/>
        <v>-793565861.65961492</v>
      </c>
      <c r="BA56" s="18">
        <f t="shared" si="52"/>
        <v>-769765663.37754738</v>
      </c>
      <c r="BB56" s="18">
        <f t="shared" si="53"/>
        <v>-745918071.99934351</v>
      </c>
      <c r="BC56" s="18">
        <f t="shared" si="54"/>
        <v>-722022294.30998516</v>
      </c>
      <c r="BD56" s="18">
        <f t="shared" si="55"/>
        <v>-698078065.03874242</v>
      </c>
      <c r="BE56" s="18">
        <f t="shared" si="56"/>
        <v>-674085649.76055658</v>
      </c>
      <c r="BF56" s="18">
        <f t="shared" si="57"/>
        <v>-650045841.9813627</v>
      </c>
      <c r="BG56" s="18">
        <f t="shared" si="58"/>
        <v>-625959954.43950999</v>
      </c>
      <c r="BH56" s="18">
        <f t="shared" si="59"/>
        <v>-601829804.71878743</v>
      </c>
      <c r="BI56" s="18">
        <f t="shared" si="60"/>
        <v>-577657695.33087277</v>
      </c>
      <c r="BJ56" s="18">
        <f t="shared" si="61"/>
        <v>-553446388.48559129</v>
      </c>
      <c r="BK56" s="18">
        <f t="shared" si="62"/>
        <v>-529199075.82552618</v>
      </c>
      <c r="BL56" s="18">
        <f t="shared" si="63"/>
        <v>-504919343.45667607</v>
      </c>
      <c r="BM56" s="18">
        <f t="shared" si="64"/>
        <v>-480611132.65832531</v>
      </c>
      <c r="BN56" s="18">
        <f t="shared" si="65"/>
        <v>-456278696.70260578</v>
      </c>
      <c r="BO56" s="18">
        <f t="shared" si="66"/>
        <v>-431926554.25679445</v>
      </c>
      <c r="BP56" s="18">
        <f t="shared" si="67"/>
        <v>-407559439.87879282</v>
      </c>
      <c r="BQ56" s="18">
        <f t="shared" si="68"/>
        <v>-383182252.1480422</v>
      </c>
      <c r="BR56" s="17">
        <f t="shared" si="69"/>
        <v>-358800000</v>
      </c>
      <c r="BT56" s="33"/>
      <c r="BU56" s="21">
        <v>4.3333333333333335E-2</v>
      </c>
      <c r="BV56" s="17">
        <v>0</v>
      </c>
      <c r="BW56" s="19">
        <f t="shared" ref="BW56:CY56" si="121">$B$20/($B$21-$B$22*BV56)</f>
        <v>0.34883720930232553</v>
      </c>
      <c r="BX56" s="19">
        <f t="shared" si="121"/>
        <v>0.39716748768472904</v>
      </c>
      <c r="BY56" s="19">
        <f t="shared" si="121"/>
        <v>0.40494040593779607</v>
      </c>
      <c r="BZ56" s="19">
        <f t="shared" si="121"/>
        <v>0.4062190081621499</v>
      </c>
      <c r="CA56" s="19">
        <f t="shared" si="121"/>
        <v>0.40643010492156101</v>
      </c>
      <c r="CB56" s="19">
        <f t="shared" si="121"/>
        <v>0.40646497802255066</v>
      </c>
      <c r="CC56" s="19">
        <f t="shared" si="121"/>
        <v>0.40647073962099717</v>
      </c>
      <c r="CD56" s="19">
        <f t="shared" si="121"/>
        <v>0.40647169154566137</v>
      </c>
      <c r="CE56" s="19">
        <f t="shared" si="121"/>
        <v>0.40647184882198806</v>
      </c>
      <c r="CF56" s="19">
        <f t="shared" si="121"/>
        <v>0.40647187480708435</v>
      </c>
      <c r="CG56" s="19">
        <f t="shared" si="121"/>
        <v>0.40647187910032606</v>
      </c>
      <c r="CH56" s="19">
        <f t="shared" si="121"/>
        <v>0.40647187980965277</v>
      </c>
      <c r="CI56" s="19">
        <f t="shared" si="121"/>
        <v>0.4064718799268473</v>
      </c>
      <c r="CJ56" s="19">
        <f t="shared" si="121"/>
        <v>0.40647187994621015</v>
      </c>
      <c r="CK56" s="19">
        <f t="shared" si="121"/>
        <v>0.40647187994940925</v>
      </c>
      <c r="CL56" s="19">
        <f t="shared" si="121"/>
        <v>0.40647187994993778</v>
      </c>
      <c r="CM56" s="19">
        <f t="shared" si="121"/>
        <v>0.40647187995002515</v>
      </c>
      <c r="CN56" s="19">
        <f t="shared" si="121"/>
        <v>0.40647187995003953</v>
      </c>
      <c r="CO56" s="19">
        <f t="shared" si="121"/>
        <v>0.40647187995004191</v>
      </c>
      <c r="CP56" s="19">
        <f t="shared" si="121"/>
        <v>0.40647187995004236</v>
      </c>
      <c r="CQ56" s="19">
        <f t="shared" si="121"/>
        <v>0.40647187995004236</v>
      </c>
      <c r="CR56" s="19">
        <f t="shared" si="121"/>
        <v>0.40647187995004236</v>
      </c>
      <c r="CS56" s="19">
        <f t="shared" si="121"/>
        <v>0.40647187995004236</v>
      </c>
      <c r="CT56" s="19">
        <f t="shared" si="121"/>
        <v>0.40647187995004236</v>
      </c>
      <c r="CU56" s="19">
        <f t="shared" si="121"/>
        <v>0.40647187995004236</v>
      </c>
      <c r="CV56" s="19">
        <f t="shared" si="121"/>
        <v>0.40647187995004236</v>
      </c>
      <c r="CW56" s="19">
        <f t="shared" si="121"/>
        <v>0.40647187995004236</v>
      </c>
      <c r="CX56" s="19">
        <f t="shared" si="121"/>
        <v>0.40647187995004236</v>
      </c>
      <c r="CY56" s="17">
        <f t="shared" si="121"/>
        <v>0.40647187995004236</v>
      </c>
      <c r="CZ56" s="12">
        <f t="shared" si="71"/>
        <v>100</v>
      </c>
      <c r="DB56" s="33"/>
      <c r="DC56" s="21">
        <v>4.3333333333333335E-2</v>
      </c>
      <c r="DD56" s="17">
        <f t="shared" si="72"/>
        <v>300</v>
      </c>
      <c r="DE56" s="19">
        <f t="shared" si="73"/>
        <v>193.37228337619177</v>
      </c>
      <c r="DF56" s="19">
        <f t="shared" si="74"/>
        <v>175.56344681888606</v>
      </c>
      <c r="DG56" s="19">
        <f t="shared" si="75"/>
        <v>169.49193883942957</v>
      </c>
      <c r="DH56" s="19">
        <f t="shared" si="76"/>
        <v>165.25610829693403</v>
      </c>
      <c r="DI56" s="19">
        <f t="shared" si="77"/>
        <v>161.31264367826455</v>
      </c>
      <c r="DJ56" s="19">
        <f t="shared" si="78"/>
        <v>157.41325507578989</v>
      </c>
      <c r="DK56" s="19">
        <f t="shared" si="79"/>
        <v>153.51732056435102</v>
      </c>
      <c r="DL56" s="19">
        <f t="shared" si="80"/>
        <v>149.61772596312727</v>
      </c>
      <c r="DM56" s="19">
        <f t="shared" si="81"/>
        <v>145.71280524320605</v>
      </c>
      <c r="DN56" s="19">
        <f t="shared" si="82"/>
        <v>141.80182217351975</v>
      </c>
      <c r="DO56" s="19">
        <f t="shared" si="83"/>
        <v>137.88424727814828</v>
      </c>
      <c r="DP56" s="19">
        <f t="shared" si="84"/>
        <v>133.95964588814556</v>
      </c>
      <c r="DQ56" s="19">
        <f t="shared" si="85"/>
        <v>130.02766395264592</v>
      </c>
      <c r="DR56" s="19">
        <f t="shared" si="86"/>
        <v>126.08802886967835</v>
      </c>
      <c r="DS56" s="19">
        <f t="shared" si="87"/>
        <v>122.14055198246083</v>
      </c>
      <c r="DT56" s="19">
        <f t="shared" si="88"/>
        <v>118.18513056700223</v>
      </c>
      <c r="DU56" s="19">
        <f t="shared" si="89"/>
        <v>114.22174894416938</v>
      </c>
      <c r="DV56" s="19">
        <f t="shared" si="90"/>
        <v>110.25047864864138</v>
      </c>
      <c r="DW56" s="19">
        <f t="shared" si="91"/>
        <v>106.27147764404103</v>
      </c>
      <c r="DX56" s="19">
        <f t="shared" si="92"/>
        <v>102.28498859145107</v>
      </c>
      <c r="DY56" s="19">
        <f t="shared" si="93"/>
        <v>98.291336190090036</v>
      </c>
      <c r="DZ56" s="19">
        <f t="shared" si="94"/>
        <v>94.290923619277336</v>
      </c>
      <c r="EA56" s="19">
        <f t="shared" si="95"/>
        <v>90.284228120687487</v>
      </c>
      <c r="EB56" s="19">
        <f t="shared" si="96"/>
        <v>86.271795769314295</v>
      </c>
      <c r="EC56" s="19">
        <f t="shared" si="97"/>
        <v>82.254235490446533</v>
      </c>
      <c r="ED56" s="19">
        <f t="shared" si="98"/>
        <v>78.232212388211678</v>
      </c>
      <c r="EE56" s="19">
        <f t="shared" si="99"/>
        <v>74.206440458778999</v>
      </c>
      <c r="EF56" s="19">
        <f t="shared" si="100"/>
        <v>70.177674768047751</v>
      </c>
      <c r="EG56" s="19">
        <f t="shared" si="101"/>
        <v>66.146703179506943</v>
      </c>
      <c r="EH56" s="17">
        <f t="shared" si="102"/>
        <v>62.114337722875312</v>
      </c>
    </row>
    <row r="57" spans="5:138" x14ac:dyDescent="0.25">
      <c r="E57" s="35"/>
      <c r="F57" s="21">
        <v>0.04</v>
      </c>
      <c r="G57" s="14">
        <f t="shared" si="10"/>
        <v>300</v>
      </c>
      <c r="H57" s="15">
        <f t="shared" si="11"/>
        <v>293.46051928284396</v>
      </c>
      <c r="I57" s="15">
        <f t="shared" si="12"/>
        <v>286.91964505971606</v>
      </c>
      <c r="J57" s="15">
        <f t="shared" si="13"/>
        <v>280.37599909350263</v>
      </c>
      <c r="K57" s="15">
        <f t="shared" si="14"/>
        <v>273.82823351746026</v>
      </c>
      <c r="L57" s="15">
        <f t="shared" si="15"/>
        <v>267.27504560387149</v>
      </c>
      <c r="M57" s="15">
        <f t="shared" si="16"/>
        <v>260.71519203798448</v>
      </c>
      <c r="N57" s="15">
        <f t="shared" si="17"/>
        <v>254.1475025408073</v>
      </c>
      <c r="O57" s="15">
        <f t="shared" si="18"/>
        <v>247.57089269146755</v>
      </c>
      <c r="P57" s="15">
        <f t="shared" si="19"/>
        <v>240.98437580862907</v>
      </c>
      <c r="Q57" s="15">
        <f t="shared" si="20"/>
        <v>234.38707376077915</v>
      </c>
      <c r="R57" s="15">
        <f t="shared" si="21"/>
        <v>227.77822658694618</v>
      </c>
      <c r="S57" s="15">
        <f t="shared" si="22"/>
        <v>221.15720082245321</v>
      </c>
      <c r="T57" s="15">
        <f t="shared" si="23"/>
        <v>214.52349643851227</v>
      </c>
      <c r="U57" s="15">
        <f t="shared" si="24"/>
        <v>207.87675231966148</v>
      </c>
      <c r="V57" s="15">
        <f t="shared" si="25"/>
        <v>201.21675021907632</v>
      </c>
      <c r="W57" s="15">
        <f t="shared" si="26"/>
        <v>194.5434171484697</v>
      </c>
      <c r="X57" s="15">
        <f t="shared" si="27"/>
        <v>187.85682617645199</v>
      </c>
      <c r="Y57" s="15">
        <f t="shared" si="28"/>
        <v>181.1571956266603</v>
      </c>
      <c r="Z57" s="15">
        <f t="shared" si="29"/>
        <v>174.44488668450168</v>
      </c>
      <c r="AA57" s="15">
        <f t="shared" si="30"/>
        <v>167.7203994387848</v>
      </c>
      <c r="AB57" s="15">
        <f t="shared" si="31"/>
        <v>160.98436740165934</v>
      </c>
      <c r="AC57" s="15">
        <f t="shared" si="32"/>
        <v>154.23755056694733</v>
      </c>
      <c r="AD57" s="15">
        <f t="shared" si="33"/>
        <v>147.48082708295365</v>
      </c>
      <c r="AE57" s="15">
        <f t="shared" si="34"/>
        <v>140.71518363101447</v>
      </c>
      <c r="AF57" s="15">
        <f t="shared" si="35"/>
        <v>133.9417046152102</v>
      </c>
      <c r="AG57" s="15">
        <f t="shared" si="36"/>
        <v>127.16156028168224</v>
      </c>
      <c r="AH57" s="15">
        <f t="shared" si="37"/>
        <v>120.37599389770944</v>
      </c>
      <c r="AI57" s="15">
        <f t="shared" si="120"/>
        <v>113.58630813098885</v>
      </c>
      <c r="AJ57" s="15">
        <f t="shared" si="103"/>
        <v>106.79385077831876</v>
      </c>
      <c r="AK57" s="14">
        <f t="shared" si="39"/>
        <v>100</v>
      </c>
      <c r="AL57" s="33"/>
      <c r="AM57" s="13">
        <v>0.04</v>
      </c>
      <c r="AN57" s="17">
        <f t="shared" si="40"/>
        <v>-1076400000</v>
      </c>
      <c r="AO57" s="18">
        <f t="shared" si="104"/>
        <v>-1052942112.3015679</v>
      </c>
      <c r="AP57" s="18">
        <f t="shared" si="41"/>
        <v>-1029479161.4906354</v>
      </c>
      <c r="AQ57" s="18">
        <f t="shared" si="42"/>
        <v>-1006006139.9321791</v>
      </c>
      <c r="AR57" s="18">
        <f t="shared" si="43"/>
        <v>-982518150.33809006</v>
      </c>
      <c r="AS57" s="18">
        <f t="shared" si="44"/>
        <v>-959010459.42720568</v>
      </c>
      <c r="AT57" s="18">
        <f t="shared" si="45"/>
        <v>-935478549.78782904</v>
      </c>
      <c r="AU57" s="18">
        <f t="shared" si="46"/>
        <v>-911918169.3743695</v>
      </c>
      <c r="AV57" s="18">
        <f t="shared" si="47"/>
        <v>-888325378.09567046</v>
      </c>
      <c r="AW57" s="18">
        <f t="shared" si="48"/>
        <v>-864696590.98450851</v>
      </c>
      <c r="AX57" s="18">
        <f t="shared" si="49"/>
        <v>-841028617.47524536</v>
      </c>
      <c r="AY57" s="18">
        <f t="shared" si="50"/>
        <v>-817318696.35929513</v>
      </c>
      <c r="AZ57" s="18">
        <f t="shared" si="51"/>
        <v>-793564526.03547668</v>
      </c>
      <c r="BA57" s="18">
        <f t="shared" si="52"/>
        <v>-769764289.72390914</v>
      </c>
      <c r="BB57" s="18">
        <f t="shared" si="53"/>
        <v>-745916675.3673259</v>
      </c>
      <c r="BC57" s="18">
        <f t="shared" si="54"/>
        <v>-722020890.00193453</v>
      </c>
      <c r="BD57" s="18">
        <f t="shared" si="55"/>
        <v>-698076668.44055164</v>
      </c>
      <c r="BE57" s="18">
        <f t="shared" si="56"/>
        <v>-674084276.17309391</v>
      </c>
      <c r="BF57" s="18">
        <f t="shared" si="57"/>
        <v>-650044506.45285618</v>
      </c>
      <c r="BG57" s="18">
        <f t="shared" si="58"/>
        <v>-625958671.60072339</v>
      </c>
      <c r="BH57" s="18">
        <f t="shared" si="59"/>
        <v>-601828588.62279117</v>
      </c>
      <c r="BI57" s="18">
        <f t="shared" si="60"/>
        <v>-577656559.29916215</v>
      </c>
      <c r="BJ57" s="18">
        <f t="shared" si="61"/>
        <v>-553445344.96223354</v>
      </c>
      <c r="BK57" s="18">
        <f t="shared" si="62"/>
        <v>-529198136.24093217</v>
      </c>
      <c r="BL57" s="18">
        <f t="shared" si="63"/>
        <v>-504918518.10248172</v>
      </c>
      <c r="BM57" s="18">
        <f t="shared" si="64"/>
        <v>-480610430.57475042</v>
      </c>
      <c r="BN57" s="18">
        <f t="shared" si="65"/>
        <v>-456278125.57951754</v>
      </c>
      <c r="BO57" s="18">
        <f t="shared" si="66"/>
        <v>-431926120.34955728</v>
      </c>
      <c r="BP57" s="18">
        <f t="shared" si="67"/>
        <v>-407559147.93981922</v>
      </c>
      <c r="BQ57" s="18">
        <f t="shared" si="68"/>
        <v>-383182105.37479317</v>
      </c>
      <c r="BR57" s="17">
        <f t="shared" si="69"/>
        <v>-358800000</v>
      </c>
      <c r="BT57" s="33"/>
      <c r="BU57" s="21">
        <v>0.04</v>
      </c>
      <c r="BV57" s="17">
        <v>0</v>
      </c>
      <c r="BW57" s="19">
        <f t="shared" ref="BW57:CY57" si="122">$B$20/($B$21-$B$22*BV57)</f>
        <v>0.34883720930232553</v>
      </c>
      <c r="BX57" s="19">
        <f t="shared" si="122"/>
        <v>0.39716748768472904</v>
      </c>
      <c r="BY57" s="19">
        <f t="shared" si="122"/>
        <v>0.40494040593779607</v>
      </c>
      <c r="BZ57" s="19">
        <f t="shared" si="122"/>
        <v>0.4062190081621499</v>
      </c>
      <c r="CA57" s="19">
        <f t="shared" si="122"/>
        <v>0.40643010492156101</v>
      </c>
      <c r="CB57" s="19">
        <f t="shared" si="122"/>
        <v>0.40646497802255066</v>
      </c>
      <c r="CC57" s="19">
        <f t="shared" si="122"/>
        <v>0.40647073962099717</v>
      </c>
      <c r="CD57" s="19">
        <f t="shared" si="122"/>
        <v>0.40647169154566137</v>
      </c>
      <c r="CE57" s="19">
        <f t="shared" si="122"/>
        <v>0.40647184882198806</v>
      </c>
      <c r="CF57" s="19">
        <f t="shared" si="122"/>
        <v>0.40647187480708435</v>
      </c>
      <c r="CG57" s="19">
        <f t="shared" si="122"/>
        <v>0.40647187910032606</v>
      </c>
      <c r="CH57" s="19">
        <f t="shared" si="122"/>
        <v>0.40647187980965277</v>
      </c>
      <c r="CI57" s="19">
        <f t="shared" si="122"/>
        <v>0.4064718799268473</v>
      </c>
      <c r="CJ57" s="19">
        <f t="shared" si="122"/>
        <v>0.40647187994621015</v>
      </c>
      <c r="CK57" s="19">
        <f t="shared" si="122"/>
        <v>0.40647187994940925</v>
      </c>
      <c r="CL57" s="19">
        <f t="shared" si="122"/>
        <v>0.40647187994993778</v>
      </c>
      <c r="CM57" s="19">
        <f t="shared" si="122"/>
        <v>0.40647187995002515</v>
      </c>
      <c r="CN57" s="19">
        <f t="shared" si="122"/>
        <v>0.40647187995003953</v>
      </c>
      <c r="CO57" s="19">
        <f t="shared" si="122"/>
        <v>0.40647187995004191</v>
      </c>
      <c r="CP57" s="19">
        <f t="shared" si="122"/>
        <v>0.40647187995004236</v>
      </c>
      <c r="CQ57" s="19">
        <f t="shared" si="122"/>
        <v>0.40647187995004236</v>
      </c>
      <c r="CR57" s="19">
        <f t="shared" si="122"/>
        <v>0.40647187995004236</v>
      </c>
      <c r="CS57" s="19">
        <f t="shared" si="122"/>
        <v>0.40647187995004236</v>
      </c>
      <c r="CT57" s="19">
        <f t="shared" si="122"/>
        <v>0.40647187995004236</v>
      </c>
      <c r="CU57" s="19">
        <f t="shared" si="122"/>
        <v>0.40647187995004236</v>
      </c>
      <c r="CV57" s="19">
        <f t="shared" si="122"/>
        <v>0.40647187995004236</v>
      </c>
      <c r="CW57" s="19">
        <f t="shared" si="122"/>
        <v>0.40647187995004236</v>
      </c>
      <c r="CX57" s="19">
        <f t="shared" si="122"/>
        <v>0.40647187995004236</v>
      </c>
      <c r="CY57" s="17">
        <f t="shared" si="122"/>
        <v>0.40647187995004236</v>
      </c>
      <c r="CZ57" s="12">
        <f t="shared" si="71"/>
        <v>100</v>
      </c>
      <c r="DB57" s="33"/>
      <c r="DC57" s="21">
        <v>0.04</v>
      </c>
      <c r="DD57" s="17">
        <f t="shared" si="72"/>
        <v>300</v>
      </c>
      <c r="DE57" s="19">
        <f t="shared" si="73"/>
        <v>193.37227100619884</v>
      </c>
      <c r="DF57" s="19">
        <f t="shared" si="74"/>
        <v>175.56341389265376</v>
      </c>
      <c r="DG57" s="19">
        <f t="shared" si="75"/>
        <v>169.49188305571263</v>
      </c>
      <c r="DH57" s="19">
        <f t="shared" si="76"/>
        <v>165.25602958576224</v>
      </c>
      <c r="DI57" s="19">
        <f t="shared" si="77"/>
        <v>161.31254274922853</v>
      </c>
      <c r="DJ57" s="19">
        <f t="shared" si="78"/>
        <v>157.41313300324907</v>
      </c>
      <c r="DK57" s="19">
        <f t="shared" si="79"/>
        <v>153.51717867987597</v>
      </c>
      <c r="DL57" s="19">
        <f t="shared" si="80"/>
        <v>149.61756582045874</v>
      </c>
      <c r="DM57" s="19">
        <f t="shared" si="81"/>
        <v>145.71262859710947</v>
      </c>
      <c r="DN57" s="19">
        <f t="shared" si="82"/>
        <v>141.80163095975027</v>
      </c>
      <c r="DO57" s="19">
        <f t="shared" si="83"/>
        <v>137.88404359207544</v>
      </c>
      <c r="DP57" s="19">
        <f t="shared" si="84"/>
        <v>133.95943196175176</v>
      </c>
      <c r="DQ57" s="19">
        <f t="shared" si="85"/>
        <v>130.02744213005187</v>
      </c>
      <c r="DR57" s="19">
        <f t="shared" si="86"/>
        <v>126.08780158144654</v>
      </c>
      <c r="DS57" s="19">
        <f t="shared" si="87"/>
        <v>122.14032171895569</v>
      </c>
      <c r="DT57" s="19">
        <f t="shared" si="88"/>
        <v>118.18489985109859</v>
      </c>
      <c r="DU57" s="19">
        <f t="shared" si="89"/>
        <v>114.22152030360891</v>
      </c>
      <c r="DV57" s="19">
        <f t="shared" si="90"/>
        <v>110.25025458833927</v>
      </c>
      <c r="DW57" s="19">
        <f t="shared" si="91"/>
        <v>106.27126061864688</v>
      </c>
      <c r="DX57" s="19">
        <f t="shared" si="92"/>
        <v>102.284780978464</v>
      </c>
      <c r="DY57" s="19">
        <f t="shared" si="93"/>
        <v>98.291140263822527</v>
      </c>
      <c r="DZ57" s="19">
        <f t="shared" si="94"/>
        <v>94.290741525952058</v>
      </c>
      <c r="EA57" s="19">
        <f t="shared" si="95"/>
        <v>90.284061854939765</v>
      </c>
      <c r="EB57" s="19">
        <f t="shared" si="96"/>
        <v>86.271647152356721</v>
      </c>
      <c r="EC57" s="19">
        <f t="shared" si="97"/>
        <v>82.254106150134191</v>
      </c>
      <c r="ED57" s="19">
        <f t="shared" si="98"/>
        <v>78.232103741225458</v>
      </c>
      <c r="EE57" s="19">
        <f t="shared" si="99"/>
        <v>74.206353695121607</v>
      </c>
      <c r="EF57" s="19">
        <f t="shared" si="100"/>
        <v>70.177610838021337</v>
      </c>
      <c r="EG57" s="19">
        <f t="shared" si="101"/>
        <v>66.146662783314511</v>
      </c>
      <c r="EH57" s="17">
        <f t="shared" si="102"/>
        <v>62.114321302959034</v>
      </c>
    </row>
    <row r="58" spans="5:138" x14ac:dyDescent="0.25">
      <c r="E58" s="35"/>
      <c r="F58" s="21">
        <v>3.6666666666666667E-2</v>
      </c>
      <c r="G58" s="14">
        <f t="shared" si="10"/>
        <v>300</v>
      </c>
      <c r="H58" s="15">
        <f t="shared" si="11"/>
        <v>293.4604803276668</v>
      </c>
      <c r="I58" s="15">
        <f t="shared" si="12"/>
        <v>286.91956757630442</v>
      </c>
      <c r="J58" s="15">
        <f t="shared" si="13"/>
        <v>280.37588393105818</v>
      </c>
      <c r="K58" s="15">
        <f t="shared" si="14"/>
        <v>273.82808193812753</v>
      </c>
      <c r="L58" s="15">
        <f t="shared" si="15"/>
        <v>267.27485926889165</v>
      </c>
      <c r="M58" s="15">
        <f t="shared" si="16"/>
        <v>260.71497298947281</v>
      </c>
      <c r="N58" s="15">
        <f t="shared" si="17"/>
        <v>254.14725317935327</v>
      </c>
      <c r="O58" s="15">
        <f t="shared" si="18"/>
        <v>247.57061574980514</v>
      </c>
      <c r="P58" s="15">
        <f t="shared" si="19"/>
        <v>240.98407432166684</v>
      </c>
      <c r="Q58" s="15">
        <f t="shared" si="20"/>
        <v>234.38675103231944</v>
      </c>
      <c r="R58" s="15">
        <f t="shared" si="21"/>
        <v>227.77788615345975</v>
      </c>
      <c r="S58" s="15">
        <f t="shared" si="22"/>
        <v>221.15684641430698</v>
      </c>
      <c r="T58" s="15">
        <f t="shared" si="23"/>
        <v>214.52313193907668</v>
      </c>
      <c r="U58" s="15">
        <f t="shared" si="24"/>
        <v>207.87638172274575</v>
      </c>
      <c r="V58" s="15">
        <f t="shared" si="25"/>
        <v>201.21637758515948</v>
      </c>
      <c r="W58" s="15">
        <f t="shared" si="26"/>
        <v>194.54304656020696</v>
      </c>
      <c r="X58" s="15">
        <f t="shared" si="27"/>
        <v>187.85646169394414</v>
      </c>
      <c r="Y58" s="15">
        <f t="shared" si="28"/>
        <v>181.15684124297681</v>
      </c>
      <c r="Z58" s="15">
        <f t="shared" si="29"/>
        <v>174.44454628194381</v>
      </c>
      <c r="AA58" s="15">
        <f t="shared" si="30"/>
        <v>167.72007674636779</v>
      </c>
      <c r="AB58" s="15">
        <f t="shared" si="31"/>
        <v>160.98406595427869</v>
      </c>
      <c r="AC58" s="15">
        <f t="shared" si="32"/>
        <v>154.23727366667549</v>
      </c>
      <c r="AD58" s="15">
        <f t="shared" si="33"/>
        <v>147.48057776289019</v>
      </c>
      <c r="AE58" s="15">
        <f t="shared" si="34"/>
        <v>140.71496462208444</v>
      </c>
      <c r="AF58" s="15">
        <f t="shared" si="35"/>
        <v>133.94151831627312</v>
      </c>
      <c r="AG58" s="15">
        <f t="shared" si="36"/>
        <v>127.16140873327808</v>
      </c>
      <c r="AH58" s="15">
        <f t="shared" si="37"/>
        <v>120.3758787597278</v>
      </c>
      <c r="AI58" s="15">
        <f t="shared" si="120"/>
        <v>113.58623066450502</v>
      </c>
      <c r="AJ58" s="15">
        <f t="shared" si="103"/>
        <v>106.79381183179456</v>
      </c>
      <c r="AK58" s="14">
        <f t="shared" si="39"/>
        <v>100</v>
      </c>
      <c r="AL58" s="33"/>
      <c r="AM58" s="13">
        <v>3.6666666666666667E-2</v>
      </c>
      <c r="AN58" s="17">
        <f t="shared" si="40"/>
        <v>-1076400000</v>
      </c>
      <c r="AO58" s="18">
        <f t="shared" si="104"/>
        <v>-1052941970.762849</v>
      </c>
      <c r="AP58" s="18">
        <f t="shared" si="41"/>
        <v>-1029478879.9644597</v>
      </c>
      <c r="AQ58" s="18">
        <f t="shared" si="42"/>
        <v>-1006005721.5040506</v>
      </c>
      <c r="AR58" s="18">
        <f t="shared" si="43"/>
        <v>-982517599.59390509</v>
      </c>
      <c r="AS58" s="18">
        <f t="shared" si="44"/>
        <v>-959009782.40294111</v>
      </c>
      <c r="AT58" s="18">
        <f t="shared" si="45"/>
        <v>-935477753.90332913</v>
      </c>
      <c r="AU58" s="18">
        <f t="shared" si="46"/>
        <v>-911917263.35195351</v>
      </c>
      <c r="AV58" s="18">
        <f t="shared" si="47"/>
        <v>-888324371.86446428</v>
      </c>
      <c r="AW58" s="18">
        <f t="shared" si="48"/>
        <v>-864695495.5715462</v>
      </c>
      <c r="AX58" s="18">
        <f t="shared" si="49"/>
        <v>-841027444.8845433</v>
      </c>
      <c r="AY58" s="18">
        <f t="shared" si="50"/>
        <v>-817317459.44022667</v>
      </c>
      <c r="AZ58" s="18">
        <f t="shared" si="51"/>
        <v>-793563238.34189475</v>
      </c>
      <c r="BA58" s="18">
        <f t="shared" si="52"/>
        <v>-769762965.36556375</v>
      </c>
      <c r="BB58" s="18">
        <f t="shared" si="53"/>
        <v>-745915328.85520899</v>
      </c>
      <c r="BC58" s="18">
        <f t="shared" si="54"/>
        <v>-722019536.08924842</v>
      </c>
      <c r="BD58" s="18">
        <f t="shared" si="55"/>
        <v>-698075321.96104717</v>
      </c>
      <c r="BE58" s="18">
        <f t="shared" si="56"/>
        <v>-674082951.87854826</v>
      </c>
      <c r="BF58" s="18">
        <f t="shared" si="57"/>
        <v>-650043218.85147285</v>
      </c>
      <c r="BG58" s="18">
        <f t="shared" si="58"/>
        <v>-625957434.79822302</v>
      </c>
      <c r="BH58" s="18">
        <f t="shared" si="59"/>
        <v>-601827416.1679318</v>
      </c>
      <c r="BI58" s="18">
        <f t="shared" si="60"/>
        <v>-577655464.03538048</v>
      </c>
      <c r="BJ58" s="18">
        <f t="shared" si="61"/>
        <v>-553444338.88702571</v>
      </c>
      <c r="BK58" s="18">
        <f t="shared" si="62"/>
        <v>-529197230.37451476</v>
      </c>
      <c r="BL58" s="18">
        <f t="shared" si="63"/>
        <v>-504917722.36716217</v>
      </c>
      <c r="BM58" s="18">
        <f t="shared" si="64"/>
        <v>-480609753.68632865</v>
      </c>
      <c r="BN58" s="18">
        <f t="shared" si="65"/>
        <v>-456277574.9519006</v>
      </c>
      <c r="BO58" s="18">
        <f t="shared" si="66"/>
        <v>-431925702.01362759</v>
      </c>
      <c r="BP58" s="18">
        <f t="shared" si="67"/>
        <v>-407558866.47744322</v>
      </c>
      <c r="BQ58" s="18">
        <f t="shared" si="68"/>
        <v>-383181963.86868697</v>
      </c>
      <c r="BR58" s="17">
        <f t="shared" si="69"/>
        <v>-358800000</v>
      </c>
      <c r="BT58" s="33"/>
      <c r="BU58" s="21">
        <v>3.6666666666666667E-2</v>
      </c>
      <c r="BV58" s="17">
        <v>0</v>
      </c>
      <c r="BW58" s="19">
        <f t="shared" ref="BW58:CY58" si="123">$B$20/($B$21-$B$22*BV58)</f>
        <v>0.34883720930232553</v>
      </c>
      <c r="BX58" s="19">
        <f t="shared" si="123"/>
        <v>0.39716748768472904</v>
      </c>
      <c r="BY58" s="19">
        <f t="shared" si="123"/>
        <v>0.40494040593779607</v>
      </c>
      <c r="BZ58" s="19">
        <f t="shared" si="123"/>
        <v>0.4062190081621499</v>
      </c>
      <c r="CA58" s="19">
        <f t="shared" si="123"/>
        <v>0.40643010492156101</v>
      </c>
      <c r="CB58" s="19">
        <f t="shared" si="123"/>
        <v>0.40646497802255066</v>
      </c>
      <c r="CC58" s="19">
        <f t="shared" si="123"/>
        <v>0.40647073962099717</v>
      </c>
      <c r="CD58" s="19">
        <f t="shared" si="123"/>
        <v>0.40647169154566137</v>
      </c>
      <c r="CE58" s="19">
        <f t="shared" si="123"/>
        <v>0.40647184882198806</v>
      </c>
      <c r="CF58" s="19">
        <f t="shared" si="123"/>
        <v>0.40647187480708435</v>
      </c>
      <c r="CG58" s="19">
        <f t="shared" si="123"/>
        <v>0.40647187910032606</v>
      </c>
      <c r="CH58" s="19">
        <f t="shared" si="123"/>
        <v>0.40647187980965277</v>
      </c>
      <c r="CI58" s="19">
        <f t="shared" si="123"/>
        <v>0.4064718799268473</v>
      </c>
      <c r="CJ58" s="19">
        <f t="shared" si="123"/>
        <v>0.40647187994621015</v>
      </c>
      <c r="CK58" s="19">
        <f t="shared" si="123"/>
        <v>0.40647187994940925</v>
      </c>
      <c r="CL58" s="19">
        <f t="shared" si="123"/>
        <v>0.40647187994993778</v>
      </c>
      <c r="CM58" s="19">
        <f t="shared" si="123"/>
        <v>0.40647187995002515</v>
      </c>
      <c r="CN58" s="19">
        <f t="shared" si="123"/>
        <v>0.40647187995003953</v>
      </c>
      <c r="CO58" s="19">
        <f t="shared" si="123"/>
        <v>0.40647187995004191</v>
      </c>
      <c r="CP58" s="19">
        <f t="shared" si="123"/>
        <v>0.40647187995004236</v>
      </c>
      <c r="CQ58" s="19">
        <f t="shared" si="123"/>
        <v>0.40647187995004236</v>
      </c>
      <c r="CR58" s="19">
        <f t="shared" si="123"/>
        <v>0.40647187995004236</v>
      </c>
      <c r="CS58" s="19">
        <f t="shared" si="123"/>
        <v>0.40647187995004236</v>
      </c>
      <c r="CT58" s="19">
        <f t="shared" si="123"/>
        <v>0.40647187995004236</v>
      </c>
      <c r="CU58" s="19">
        <f t="shared" si="123"/>
        <v>0.40647187995004236</v>
      </c>
      <c r="CV58" s="19">
        <f t="shared" si="123"/>
        <v>0.40647187995004236</v>
      </c>
      <c r="CW58" s="19">
        <f t="shared" si="123"/>
        <v>0.40647187995004236</v>
      </c>
      <c r="CX58" s="19">
        <f t="shared" si="123"/>
        <v>0.40647187995004236</v>
      </c>
      <c r="CY58" s="17">
        <f t="shared" si="123"/>
        <v>0.40647187995004236</v>
      </c>
      <c r="CZ58" s="12">
        <f t="shared" si="71"/>
        <v>100</v>
      </c>
      <c r="DB58" s="33"/>
      <c r="DC58" s="21">
        <v>3.6666666666666667E-2</v>
      </c>
      <c r="DD58" s="17">
        <f t="shared" si="72"/>
        <v>300</v>
      </c>
      <c r="DE58" s="19">
        <f t="shared" si="73"/>
        <v>193.37225908011874</v>
      </c>
      <c r="DF58" s="19">
        <f t="shared" si="74"/>
        <v>175.56338214802085</v>
      </c>
      <c r="DG58" s="19">
        <f t="shared" si="75"/>
        <v>169.49182927386477</v>
      </c>
      <c r="DH58" s="19">
        <f t="shared" si="76"/>
        <v>165.25595369924014</v>
      </c>
      <c r="DI58" s="19">
        <f t="shared" si="77"/>
        <v>161.31244544215829</v>
      </c>
      <c r="DJ58" s="19">
        <f t="shared" si="78"/>
        <v>157.41301531143537</v>
      </c>
      <c r="DK58" s="19">
        <f t="shared" si="79"/>
        <v>153.51704188710428</v>
      </c>
      <c r="DL58" s="19">
        <f t="shared" si="80"/>
        <v>149.61741142471183</v>
      </c>
      <c r="DM58" s="19">
        <f t="shared" si="81"/>
        <v>145.71245829018093</v>
      </c>
      <c r="DN58" s="19">
        <f t="shared" si="82"/>
        <v>141.80144660792803</v>
      </c>
      <c r="DO58" s="19">
        <f t="shared" si="83"/>
        <v>137.88384721553416</v>
      </c>
      <c r="DP58" s="19">
        <f t="shared" si="84"/>
        <v>133.95922571237634</v>
      </c>
      <c r="DQ58" s="19">
        <f t="shared" si="85"/>
        <v>130.02722826784128</v>
      </c>
      <c r="DR58" s="19">
        <f t="shared" si="86"/>
        <v>126.08758244973953</v>
      </c>
      <c r="DS58" s="19">
        <f t="shared" si="87"/>
        <v>122.14009971874671</v>
      </c>
      <c r="DT58" s="19">
        <f t="shared" si="88"/>
        <v>118.18467741472601</v>
      </c>
      <c r="DU58" s="19">
        <f t="shared" si="89"/>
        <v>114.2212998681031</v>
      </c>
      <c r="DV58" s="19">
        <f t="shared" si="90"/>
        <v>110.25003856872343</v>
      </c>
      <c r="DW58" s="19">
        <f t="shared" si="91"/>
        <v>106.27105138148241</v>
      </c>
      <c r="DX58" s="19">
        <f t="shared" si="92"/>
        <v>102.28458081593054</v>
      </c>
      <c r="DY58" s="19">
        <f t="shared" si="93"/>
        <v>98.290951368615936</v>
      </c>
      <c r="DZ58" s="19">
        <f t="shared" si="94"/>
        <v>94.2905659672751</v>
      </c>
      <c r="EA58" s="19">
        <f t="shared" si="95"/>
        <v>90.28390155584782</v>
      </c>
      <c r="EB58" s="19">
        <f t="shared" si="96"/>
        <v>86.271503868705864</v>
      </c>
      <c r="EC58" s="19">
        <f t="shared" si="97"/>
        <v>82.253981451361838</v>
      </c>
      <c r="ED58" s="19">
        <f t="shared" si="98"/>
        <v>78.23199899317315</v>
      </c>
      <c r="EE58" s="19">
        <f t="shared" si="99"/>
        <v>74.206270045087294</v>
      </c>
      <c r="EF58" s="19">
        <f t="shared" si="100"/>
        <v>70.177549202204418</v>
      </c>
      <c r="EG58" s="19">
        <f t="shared" si="101"/>
        <v>66.146623836790312</v>
      </c>
      <c r="EH58" s="17">
        <f t="shared" si="102"/>
        <v>62.114305472292131</v>
      </c>
    </row>
    <row r="59" spans="5:138" x14ac:dyDescent="0.25">
      <c r="E59" s="35"/>
      <c r="F59" s="21">
        <v>3.3333333333333333E-2</v>
      </c>
      <c r="G59" s="14">
        <f t="shared" si="10"/>
        <v>300</v>
      </c>
      <c r="H59" s="15">
        <f t="shared" si="11"/>
        <v>293.46044327916769</v>
      </c>
      <c r="I59" s="15">
        <f t="shared" si="12"/>
        <v>286.91949388535215</v>
      </c>
      <c r="J59" s="15">
        <f t="shared" si="13"/>
        <v>280.3757744052898</v>
      </c>
      <c r="K59" s="15">
        <f t="shared" si="14"/>
        <v>273.82793777791119</v>
      </c>
      <c r="L59" s="15">
        <f t="shared" si="15"/>
        <v>267.27468205415852</v>
      </c>
      <c r="M59" s="15">
        <f t="shared" si="16"/>
        <v>260.71476466238585</v>
      </c>
      <c r="N59" s="15">
        <f t="shared" si="17"/>
        <v>254.14701602300403</v>
      </c>
      <c r="O59" s="15">
        <f t="shared" si="18"/>
        <v>247.57035236317279</v>
      </c>
      <c r="P59" s="15">
        <f t="shared" si="19"/>
        <v>240.98378759111503</v>
      </c>
      <c r="Q59" s="15">
        <f t="shared" si="20"/>
        <v>234.38644409994447</v>
      </c>
      <c r="R59" s="15">
        <f t="shared" si="21"/>
        <v>227.77756238263822</v>
      </c>
      <c r="S59" s="15">
        <f t="shared" si="22"/>
        <v>221.15650935282144</v>
      </c>
      <c r="T59" s="15">
        <f t="shared" si="23"/>
        <v>214.52278528022418</v>
      </c>
      <c r="U59" s="15">
        <f t="shared" si="24"/>
        <v>207.87602926485692</v>
      </c>
      <c r="V59" s="15">
        <f t="shared" si="25"/>
        <v>201.21602318997142</v>
      </c>
      <c r="W59" s="15">
        <f t="shared" si="26"/>
        <v>194.54269411054753</v>
      </c>
      <c r="X59" s="15">
        <f t="shared" si="27"/>
        <v>187.85611505119078</v>
      </c>
      <c r="Y59" s="15">
        <f t="shared" si="28"/>
        <v>181.15650420475646</v>
      </c>
      <c r="Z59" s="15">
        <f t="shared" si="29"/>
        <v>174.44422254053683</v>
      </c>
      <c r="AA59" s="15">
        <f t="shared" si="30"/>
        <v>167.71976984827108</v>
      </c>
      <c r="AB59" s="15">
        <f t="shared" si="31"/>
        <v>160.98377926137073</v>
      </c>
      <c r="AC59" s="15">
        <f t="shared" si="32"/>
        <v>154.23701031940743</v>
      </c>
      <c r="AD59" s="15">
        <f t="shared" si="33"/>
        <v>147.48034064590522</v>
      </c>
      <c r="AE59" s="15">
        <f t="shared" si="34"/>
        <v>140.71475633264131</v>
      </c>
      <c r="AF59" s="15">
        <f t="shared" si="35"/>
        <v>133.94134113581816</v>
      </c>
      <c r="AG59" s="15">
        <f t="shared" si="36"/>
        <v>127.16126460247618</v>
      </c>
      <c r="AH59" s="15">
        <f t="shared" si="37"/>
        <v>120.37576925722452</v>
      </c>
      <c r="AI59" s="15">
        <f t="shared" si="120"/>
        <v>113.58615698965178</v>
      </c>
      <c r="AJ59" s="15">
        <f t="shared" si="103"/>
        <v>106.79377479152484</v>
      </c>
      <c r="AK59" s="14">
        <f t="shared" si="39"/>
        <v>100</v>
      </c>
      <c r="AL59" s="33"/>
      <c r="AM59" s="13">
        <v>3.3333333333333333E-2</v>
      </c>
      <c r="AN59" s="17">
        <f t="shared" si="40"/>
        <v>-1076400000</v>
      </c>
      <c r="AO59" s="18">
        <f t="shared" si="104"/>
        <v>-1052941836.1518044</v>
      </c>
      <c r="AP59" s="18">
        <f t="shared" si="41"/>
        <v>-1029478612.2177051</v>
      </c>
      <c r="AQ59" s="18">
        <f t="shared" si="42"/>
        <v>-1006005323.5560693</v>
      </c>
      <c r="AR59" s="18">
        <f t="shared" si="43"/>
        <v>-982517075.80613387</v>
      </c>
      <c r="AS59" s="18">
        <f t="shared" si="44"/>
        <v>-959009138.51592386</v>
      </c>
      <c r="AT59" s="18">
        <f t="shared" si="45"/>
        <v>-935476996.97374189</v>
      </c>
      <c r="AU59" s="18">
        <f t="shared" si="46"/>
        <v>-911916401.67519891</v>
      </c>
      <c r="AV59" s="18">
        <f t="shared" si="47"/>
        <v>-888323414.88368213</v>
      </c>
      <c r="AW59" s="18">
        <f t="shared" si="48"/>
        <v>-864694453.77404761</v>
      </c>
      <c r="AX59" s="18">
        <f t="shared" si="49"/>
        <v>-841026329.68680286</v>
      </c>
      <c r="AY59" s="18">
        <f t="shared" si="50"/>
        <v>-817316283.06269944</v>
      </c>
      <c r="AZ59" s="18">
        <f t="shared" si="51"/>
        <v>-793562013.67503464</v>
      </c>
      <c r="BA59" s="18">
        <f t="shared" si="52"/>
        <v>-769761705.82851267</v>
      </c>
      <c r="BB59" s="18">
        <f t="shared" si="53"/>
        <v>-745914048.24871218</v>
      </c>
      <c r="BC59" s="18">
        <f t="shared" si="54"/>
        <v>-722018248.44440639</v>
      </c>
      <c r="BD59" s="18">
        <f t="shared" si="55"/>
        <v>-698074041.38556647</v>
      </c>
      <c r="BE59" s="18">
        <f t="shared" si="56"/>
        <v>-674081692.40217376</v>
      </c>
      <c r="BF59" s="18">
        <f t="shared" si="57"/>
        <v>-650041994.27229762</v>
      </c>
      <c r="BG59" s="18">
        <f t="shared" si="58"/>
        <v>-625956258.53155708</v>
      </c>
      <c r="BH59" s="18">
        <f t="shared" si="59"/>
        <v>-601826301.09938371</v>
      </c>
      <c r="BI59" s="18">
        <f t="shared" si="60"/>
        <v>-577654422.37975907</v>
      </c>
      <c r="BJ59" s="18">
        <f t="shared" si="61"/>
        <v>-553443382.05460513</v>
      </c>
      <c r="BK59" s="18">
        <f t="shared" si="62"/>
        <v>-529196368.84612149</v>
      </c>
      <c r="BL59" s="18">
        <f t="shared" si="63"/>
        <v>-504916965.57945251</v>
      </c>
      <c r="BM59" s="18">
        <f t="shared" si="64"/>
        <v>-480609109.92850375</v>
      </c>
      <c r="BN59" s="18">
        <f t="shared" si="65"/>
        <v>-456277051.27499068</v>
      </c>
      <c r="BO59" s="18">
        <f t="shared" si="66"/>
        <v>-431925304.1533311</v>
      </c>
      <c r="BP59" s="18">
        <f t="shared" si="67"/>
        <v>-407558598.79136515</v>
      </c>
      <c r="BQ59" s="18">
        <f t="shared" si="68"/>
        <v>-383181829.28865838</v>
      </c>
      <c r="BR59" s="17">
        <f t="shared" si="69"/>
        <v>-358800000</v>
      </c>
      <c r="BT59" s="33"/>
      <c r="BU59" s="21">
        <v>3.3333333333333333E-2</v>
      </c>
      <c r="BV59" s="17">
        <v>0</v>
      </c>
      <c r="BW59" s="19">
        <f t="shared" ref="BW59:CY59" si="124">$B$20/($B$21-$B$22*BV59)</f>
        <v>0.34883720930232553</v>
      </c>
      <c r="BX59" s="19">
        <f t="shared" si="124"/>
        <v>0.39716748768472904</v>
      </c>
      <c r="BY59" s="19">
        <f t="shared" si="124"/>
        <v>0.40494040593779607</v>
      </c>
      <c r="BZ59" s="19">
        <f t="shared" si="124"/>
        <v>0.4062190081621499</v>
      </c>
      <c r="CA59" s="19">
        <f t="shared" si="124"/>
        <v>0.40643010492156101</v>
      </c>
      <c r="CB59" s="19">
        <f t="shared" si="124"/>
        <v>0.40646497802255066</v>
      </c>
      <c r="CC59" s="19">
        <f t="shared" si="124"/>
        <v>0.40647073962099717</v>
      </c>
      <c r="CD59" s="19">
        <f t="shared" si="124"/>
        <v>0.40647169154566137</v>
      </c>
      <c r="CE59" s="19">
        <f t="shared" si="124"/>
        <v>0.40647184882198806</v>
      </c>
      <c r="CF59" s="19">
        <f t="shared" si="124"/>
        <v>0.40647187480708435</v>
      </c>
      <c r="CG59" s="19">
        <f t="shared" si="124"/>
        <v>0.40647187910032606</v>
      </c>
      <c r="CH59" s="19">
        <f t="shared" si="124"/>
        <v>0.40647187980965277</v>
      </c>
      <c r="CI59" s="19">
        <f t="shared" si="124"/>
        <v>0.4064718799268473</v>
      </c>
      <c r="CJ59" s="19">
        <f t="shared" si="124"/>
        <v>0.40647187994621015</v>
      </c>
      <c r="CK59" s="19">
        <f t="shared" si="124"/>
        <v>0.40647187994940925</v>
      </c>
      <c r="CL59" s="19">
        <f t="shared" si="124"/>
        <v>0.40647187994993778</v>
      </c>
      <c r="CM59" s="19">
        <f t="shared" si="124"/>
        <v>0.40647187995002515</v>
      </c>
      <c r="CN59" s="19">
        <f t="shared" si="124"/>
        <v>0.40647187995003953</v>
      </c>
      <c r="CO59" s="19">
        <f t="shared" si="124"/>
        <v>0.40647187995004191</v>
      </c>
      <c r="CP59" s="19">
        <f t="shared" si="124"/>
        <v>0.40647187995004236</v>
      </c>
      <c r="CQ59" s="19">
        <f t="shared" si="124"/>
        <v>0.40647187995004236</v>
      </c>
      <c r="CR59" s="19">
        <f t="shared" si="124"/>
        <v>0.40647187995004236</v>
      </c>
      <c r="CS59" s="19">
        <f t="shared" si="124"/>
        <v>0.40647187995004236</v>
      </c>
      <c r="CT59" s="19">
        <f t="shared" si="124"/>
        <v>0.40647187995004236</v>
      </c>
      <c r="CU59" s="19">
        <f t="shared" si="124"/>
        <v>0.40647187995004236</v>
      </c>
      <c r="CV59" s="19">
        <f t="shared" si="124"/>
        <v>0.40647187995004236</v>
      </c>
      <c r="CW59" s="19">
        <f t="shared" si="124"/>
        <v>0.40647187995004236</v>
      </c>
      <c r="CX59" s="19">
        <f t="shared" si="124"/>
        <v>0.40647187995004236</v>
      </c>
      <c r="CY59" s="17">
        <f t="shared" si="124"/>
        <v>0.40647187995004236</v>
      </c>
      <c r="CZ59" s="12">
        <f t="shared" si="71"/>
        <v>100</v>
      </c>
      <c r="DB59" s="33"/>
      <c r="DC59" s="21">
        <v>3.3333333333333333E-2</v>
      </c>
      <c r="DD59" s="17">
        <f t="shared" si="72"/>
        <v>300</v>
      </c>
      <c r="DE59" s="19">
        <f t="shared" si="73"/>
        <v>193.37224773776578</v>
      </c>
      <c r="DF59" s="19">
        <f t="shared" si="74"/>
        <v>175.56335195714283</v>
      </c>
      <c r="DG59" s="19">
        <f t="shared" si="75"/>
        <v>169.49177812439291</v>
      </c>
      <c r="DH59" s="19">
        <f t="shared" si="76"/>
        <v>165.25588152701692</v>
      </c>
      <c r="DI59" s="19">
        <f t="shared" si="77"/>
        <v>161.31235289782495</v>
      </c>
      <c r="DJ59" s="19">
        <f t="shared" si="78"/>
        <v>157.41290338009867</v>
      </c>
      <c r="DK59" s="19">
        <f t="shared" si="79"/>
        <v>153.5169117897143</v>
      </c>
      <c r="DL59" s="19">
        <f t="shared" si="80"/>
        <v>149.61726458593191</v>
      </c>
      <c r="DM59" s="19">
        <f t="shared" si="81"/>
        <v>145.71229631899905</v>
      </c>
      <c r="DN59" s="19">
        <f t="shared" si="82"/>
        <v>141.80127127928591</v>
      </c>
      <c r="DO59" s="19">
        <f t="shared" si="83"/>
        <v>137.88366045072806</v>
      </c>
      <c r="DP59" s="19">
        <f t="shared" si="84"/>
        <v>133.9590295579662</v>
      </c>
      <c r="DQ59" s="19">
        <f t="shared" si="85"/>
        <v>130.02702487320948</v>
      </c>
      <c r="DR59" s="19">
        <f t="shared" si="86"/>
        <v>126.08737404352902</v>
      </c>
      <c r="DS59" s="19">
        <f t="shared" si="87"/>
        <v>122.1398885844343</v>
      </c>
      <c r="DT59" s="19">
        <f t="shared" si="88"/>
        <v>118.1844658655982</v>
      </c>
      <c r="DU59" s="19">
        <f t="shared" si="89"/>
        <v>114.22109022190878</v>
      </c>
      <c r="DV59" s="19">
        <f t="shared" si="90"/>
        <v>110.2498331222814</v>
      </c>
      <c r="DW59" s="19">
        <f t="shared" si="91"/>
        <v>106.27085238552174</v>
      </c>
      <c r="DX59" s="19">
        <f t="shared" si="92"/>
        <v>102.28439045043908</v>
      </c>
      <c r="DY59" s="19">
        <f t="shared" si="93"/>
        <v>98.290771718967122</v>
      </c>
      <c r="DZ59" s="19">
        <f t="shared" si="94"/>
        <v>94.290399001393695</v>
      </c>
      <c r="EA59" s="19">
        <f t="shared" si="95"/>
        <v>90.283749102664373</v>
      </c>
      <c r="EB59" s="19">
        <f t="shared" si="96"/>
        <v>86.271367598135356</v>
      </c>
      <c r="EC59" s="19">
        <f t="shared" si="97"/>
        <v>82.253862856024895</v>
      </c>
      <c r="ED59" s="19">
        <f t="shared" si="98"/>
        <v>78.231899372059615</v>
      </c>
      <c r="EE59" s="19">
        <f t="shared" si="99"/>
        <v>74.206190489340116</v>
      </c>
      <c r="EF59" s="19">
        <f t="shared" si="100"/>
        <v>70.177490583179249</v>
      </c>
      <c r="EG59" s="19">
        <f t="shared" si="101"/>
        <v>66.146586796520594</v>
      </c>
      <c r="EH59" s="17">
        <f t="shared" si="102"/>
        <v>62.114290416464058</v>
      </c>
    </row>
    <row r="60" spans="5:138" x14ac:dyDescent="0.25">
      <c r="E60" s="35"/>
      <c r="F60" s="21">
        <v>3.0000000000000002E-2</v>
      </c>
      <c r="G60" s="14">
        <f t="shared" si="10"/>
        <v>300</v>
      </c>
      <c r="H60" s="15">
        <f t="shared" si="11"/>
        <v>293.46040857167503</v>
      </c>
      <c r="I60" s="15">
        <f t="shared" si="12"/>
        <v>286.9194248507556</v>
      </c>
      <c r="J60" s="15">
        <f t="shared" si="13"/>
        <v>280.3756718001938</v>
      </c>
      <c r="K60" s="15">
        <f t="shared" si="14"/>
        <v>273.8278027268355</v>
      </c>
      <c r="L60" s="15">
        <f t="shared" si="15"/>
        <v>267.27451603720226</v>
      </c>
      <c r="M60" s="15">
        <f t="shared" si="16"/>
        <v>260.7145694989913</v>
      </c>
      <c r="N60" s="15">
        <f t="shared" si="17"/>
        <v>254.1467938519996</v>
      </c>
      <c r="O60" s="15">
        <f t="shared" si="18"/>
        <v>247.57010561931435</v>
      </c>
      <c r="P60" s="15">
        <f t="shared" si="19"/>
        <v>240.98351897838373</v>
      </c>
      <c r="Q60" s="15">
        <f t="shared" si="20"/>
        <v>234.38615656189506</v>
      </c>
      <c r="R60" s="15">
        <f t="shared" si="21"/>
        <v>227.77725907012359</v>
      </c>
      <c r="S60" s="15">
        <f t="shared" si="22"/>
        <v>221.15619358944809</v>
      </c>
      <c r="T60" s="15">
        <f t="shared" si="23"/>
        <v>214.52246052591866</v>
      </c>
      <c r="U60" s="15">
        <f t="shared" si="24"/>
        <v>207.87569907794224</v>
      </c>
      <c r="V60" s="15">
        <f t="shared" si="25"/>
        <v>201.21569118817075</v>
      </c>
      <c r="W60" s="15">
        <f t="shared" si="26"/>
        <v>194.54236393134209</v>
      </c>
      <c r="X60" s="15">
        <f t="shared" si="27"/>
        <v>187.85579031196684</v>
      </c>
      <c r="Y60" s="15">
        <f t="shared" si="28"/>
        <v>181.15618846317795</v>
      </c>
      <c r="Z60" s="15">
        <f t="shared" si="29"/>
        <v>174.4439192555777</v>
      </c>
      <c r="AA60" s="15">
        <f t="shared" si="30"/>
        <v>167.71948234233358</v>
      </c>
      <c r="AB60" s="15">
        <f t="shared" si="31"/>
        <v>160.98351068390429</v>
      </c>
      <c r="AC60" s="15">
        <f t="shared" si="32"/>
        <v>154.23676361242548</v>
      </c>
      <c r="AD60" s="15">
        <f t="shared" si="33"/>
        <v>147.48011851177731</v>
      </c>
      <c r="AE60" s="15">
        <f t="shared" si="34"/>
        <v>140.7145612045116</v>
      </c>
      <c r="AF60" s="15">
        <f t="shared" si="35"/>
        <v>133.94117515097381</v>
      </c>
      <c r="AG60" s="15">
        <f t="shared" si="36"/>
        <v>127.16112957895606</v>
      </c>
      <c r="AH60" s="15">
        <f t="shared" si="37"/>
        <v>120.37566667392338</v>
      </c>
      <c r="AI60" s="15">
        <f t="shared" si="120"/>
        <v>113.58608797013684</v>
      </c>
      <c r="AJ60" s="15">
        <f t="shared" si="103"/>
        <v>106.79374009174143</v>
      </c>
      <c r="AK60" s="14">
        <f t="shared" si="39"/>
        <v>100</v>
      </c>
      <c r="AL60" s="33"/>
      <c r="AM60" s="13">
        <v>3.0000000000000002E-2</v>
      </c>
      <c r="AN60" s="17">
        <f t="shared" si="40"/>
        <v>-1076400000</v>
      </c>
      <c r="AO60" s="18">
        <f t="shared" si="104"/>
        <v>-1052941710.0465112</v>
      </c>
      <c r="AP60" s="18">
        <f t="shared" si="41"/>
        <v>-1029478361.3892301</v>
      </c>
      <c r="AQ60" s="18">
        <f t="shared" si="42"/>
        <v>-1006004950.7534727</v>
      </c>
      <c r="AR60" s="18">
        <f t="shared" si="43"/>
        <v>-982516585.1152643</v>
      </c>
      <c r="AS60" s="18">
        <f t="shared" si="44"/>
        <v>-959008535.31459343</v>
      </c>
      <c r="AT60" s="18">
        <f t="shared" si="45"/>
        <v>-935476287.87273252</v>
      </c>
      <c r="AU60" s="18">
        <f t="shared" si="46"/>
        <v>-911915594.44574571</v>
      </c>
      <c r="AV60" s="18">
        <f t="shared" si="47"/>
        <v>-888322518.37223577</v>
      </c>
      <c r="AW60" s="18">
        <f t="shared" si="48"/>
        <v>-864693477.80525112</v>
      </c>
      <c r="AX60" s="18">
        <f t="shared" si="49"/>
        <v>-841025284.95575058</v>
      </c>
      <c r="AY60" s="18">
        <f t="shared" si="50"/>
        <v>-817315181.01766551</v>
      </c>
      <c r="AZ60" s="18">
        <f t="shared" si="51"/>
        <v>-793560866.39195538</v>
      </c>
      <c r="BA60" s="18">
        <f t="shared" si="52"/>
        <v>-769760525.8786068</v>
      </c>
      <c r="BB60" s="18">
        <f t="shared" si="53"/>
        <v>-745912848.56068838</v>
      </c>
      <c r="BC60" s="18">
        <f t="shared" si="54"/>
        <v>-722017042.16277349</v>
      </c>
      <c r="BD60" s="18">
        <f t="shared" si="55"/>
        <v>-698072841.72659838</v>
      </c>
      <c r="BE60" s="18">
        <f t="shared" si="56"/>
        <v>-674080512.5091095</v>
      </c>
      <c r="BF60" s="18">
        <f t="shared" si="57"/>
        <v>-650040847.07136178</v>
      </c>
      <c r="BG60" s="18">
        <f t="shared" si="58"/>
        <v>-625955156.59037828</v>
      </c>
      <c r="BH60" s="18">
        <f t="shared" si="59"/>
        <v>-601825256.4893595</v>
      </c>
      <c r="BI60" s="18">
        <f t="shared" si="60"/>
        <v>-577653446.54387355</v>
      </c>
      <c r="BJ60" s="18">
        <f t="shared" si="61"/>
        <v>-553442485.68214405</v>
      </c>
      <c r="BK60" s="18">
        <f t="shared" si="62"/>
        <v>-529195561.75565374</v>
      </c>
      <c r="BL60" s="18">
        <f t="shared" si="63"/>
        <v>-504916256.61135405</v>
      </c>
      <c r="BM60" s="18">
        <f t="shared" si="64"/>
        <v>-480608506.84820122</v>
      </c>
      <c r="BN60" s="18">
        <f t="shared" si="65"/>
        <v>-456276560.68797624</v>
      </c>
      <c r="BO60" s="18">
        <f t="shared" si="66"/>
        <v>-431924931.43287826</v>
      </c>
      <c r="BP60" s="18">
        <f t="shared" si="67"/>
        <v>-407558348.01973206</v>
      </c>
      <c r="BQ60" s="18">
        <f t="shared" si="68"/>
        <v>-383181703.21242088</v>
      </c>
      <c r="BR60" s="17">
        <f t="shared" si="69"/>
        <v>-358800000</v>
      </c>
      <c r="BT60" s="33"/>
      <c r="BU60" s="21">
        <v>3.0000000000000002E-2</v>
      </c>
      <c r="BV60" s="17">
        <v>0</v>
      </c>
      <c r="BW60" s="19">
        <f t="shared" ref="BW60:CY60" si="125">$B$20/($B$21-$B$22*BV60)</f>
        <v>0.34883720930232553</v>
      </c>
      <c r="BX60" s="19">
        <f t="shared" si="125"/>
        <v>0.39716748768472904</v>
      </c>
      <c r="BY60" s="19">
        <f t="shared" si="125"/>
        <v>0.40494040593779607</v>
      </c>
      <c r="BZ60" s="19">
        <f t="shared" si="125"/>
        <v>0.4062190081621499</v>
      </c>
      <c r="CA60" s="19">
        <f t="shared" si="125"/>
        <v>0.40643010492156101</v>
      </c>
      <c r="CB60" s="19">
        <f t="shared" si="125"/>
        <v>0.40646497802255066</v>
      </c>
      <c r="CC60" s="19">
        <f t="shared" si="125"/>
        <v>0.40647073962099717</v>
      </c>
      <c r="CD60" s="19">
        <f t="shared" si="125"/>
        <v>0.40647169154566137</v>
      </c>
      <c r="CE60" s="19">
        <f t="shared" si="125"/>
        <v>0.40647184882198806</v>
      </c>
      <c r="CF60" s="19">
        <f t="shared" si="125"/>
        <v>0.40647187480708435</v>
      </c>
      <c r="CG60" s="19">
        <f t="shared" si="125"/>
        <v>0.40647187910032606</v>
      </c>
      <c r="CH60" s="19">
        <f t="shared" si="125"/>
        <v>0.40647187980965277</v>
      </c>
      <c r="CI60" s="19">
        <f t="shared" si="125"/>
        <v>0.4064718799268473</v>
      </c>
      <c r="CJ60" s="19">
        <f t="shared" si="125"/>
        <v>0.40647187994621015</v>
      </c>
      <c r="CK60" s="19">
        <f t="shared" si="125"/>
        <v>0.40647187994940925</v>
      </c>
      <c r="CL60" s="19">
        <f t="shared" si="125"/>
        <v>0.40647187994993778</v>
      </c>
      <c r="CM60" s="19">
        <f t="shared" si="125"/>
        <v>0.40647187995002515</v>
      </c>
      <c r="CN60" s="19">
        <f t="shared" si="125"/>
        <v>0.40647187995003953</v>
      </c>
      <c r="CO60" s="19">
        <f t="shared" si="125"/>
        <v>0.40647187995004191</v>
      </c>
      <c r="CP60" s="19">
        <f t="shared" si="125"/>
        <v>0.40647187995004236</v>
      </c>
      <c r="CQ60" s="19">
        <f t="shared" si="125"/>
        <v>0.40647187995004236</v>
      </c>
      <c r="CR60" s="19">
        <f t="shared" si="125"/>
        <v>0.40647187995004236</v>
      </c>
      <c r="CS60" s="19">
        <f t="shared" si="125"/>
        <v>0.40647187995004236</v>
      </c>
      <c r="CT60" s="19">
        <f t="shared" si="125"/>
        <v>0.40647187995004236</v>
      </c>
      <c r="CU60" s="19">
        <f t="shared" si="125"/>
        <v>0.40647187995004236</v>
      </c>
      <c r="CV60" s="19">
        <f t="shared" si="125"/>
        <v>0.40647187995004236</v>
      </c>
      <c r="CW60" s="19">
        <f t="shared" si="125"/>
        <v>0.40647187995004236</v>
      </c>
      <c r="CX60" s="19">
        <f t="shared" si="125"/>
        <v>0.40647187995004236</v>
      </c>
      <c r="CY60" s="17">
        <f t="shared" si="125"/>
        <v>0.40647187995004236</v>
      </c>
      <c r="CZ60" s="12">
        <f t="shared" si="71"/>
        <v>100</v>
      </c>
      <c r="DB60" s="33"/>
      <c r="DC60" s="21">
        <v>3.0000000000000002E-2</v>
      </c>
      <c r="DD60" s="17">
        <f t="shared" si="72"/>
        <v>300</v>
      </c>
      <c r="DE60" s="19">
        <f t="shared" si="73"/>
        <v>193.37223711210913</v>
      </c>
      <c r="DF60" s="19">
        <f t="shared" si="74"/>
        <v>175.56332367395447</v>
      </c>
      <c r="DG60" s="19">
        <f t="shared" si="75"/>
        <v>169.49173020693428</v>
      </c>
      <c r="DH60" s="19">
        <f t="shared" si="76"/>
        <v>165.25581391518458</v>
      </c>
      <c r="DI60" s="19">
        <f t="shared" si="77"/>
        <v>161.31226620114759</v>
      </c>
      <c r="DJ60" s="19">
        <f t="shared" si="78"/>
        <v>157.41279852143654</v>
      </c>
      <c r="DK60" s="19">
        <f t="shared" si="79"/>
        <v>153.51678991286852</v>
      </c>
      <c r="DL60" s="19">
        <f t="shared" si="80"/>
        <v>149.6171270255447</v>
      </c>
      <c r="DM60" s="19">
        <f t="shared" si="81"/>
        <v>145.71214458239029</v>
      </c>
      <c r="DN60" s="19">
        <f t="shared" si="82"/>
        <v>141.80110702924298</v>
      </c>
      <c r="DO60" s="19">
        <f t="shared" si="83"/>
        <v>137.88348548714512</v>
      </c>
      <c r="DP60" s="19">
        <f t="shared" si="84"/>
        <v>133.95884579808592</v>
      </c>
      <c r="DQ60" s="19">
        <f t="shared" si="85"/>
        <v>130.02683433059988</v>
      </c>
      <c r="DR60" s="19">
        <f t="shared" si="86"/>
        <v>126.08717880601041</v>
      </c>
      <c r="DS60" s="19">
        <f t="shared" si="87"/>
        <v>122.139690791196</v>
      </c>
      <c r="DT60" s="19">
        <f t="shared" si="88"/>
        <v>118.18426768375562</v>
      </c>
      <c r="DU60" s="19">
        <f t="shared" si="89"/>
        <v>114.22089382275784</v>
      </c>
      <c r="DV60" s="19">
        <f t="shared" si="90"/>
        <v>110.2496406575104</v>
      </c>
      <c r="DW60" s="19">
        <f t="shared" si="91"/>
        <v>106.27066596364151</v>
      </c>
      <c r="DX60" s="19">
        <f t="shared" si="92"/>
        <v>102.28421211368928</v>
      </c>
      <c r="DY60" s="19">
        <f t="shared" si="93"/>
        <v>98.290603420951399</v>
      </c>
      <c r="DZ60" s="19">
        <f t="shared" si="94"/>
        <v>94.290242585688318</v>
      </c>
      <c r="EA60" s="19">
        <f t="shared" si="95"/>
        <v>90.283606282634182</v>
      </c>
      <c r="EB60" s="19">
        <f t="shared" si="96"/>
        <v>86.271239938177359</v>
      </c>
      <c r="EC60" s="19">
        <f t="shared" si="97"/>
        <v>82.253751754444593</v>
      </c>
      <c r="ED60" s="19">
        <f t="shared" si="98"/>
        <v>78.23180604576676</v>
      </c>
      <c r="EE60" s="19">
        <f t="shared" si="99"/>
        <v>74.206115960530965</v>
      </c>
      <c r="EF60" s="19">
        <f t="shared" si="100"/>
        <v>70.177435668150508</v>
      </c>
      <c r="EG60" s="19">
        <f t="shared" si="101"/>
        <v>66.146552096737196</v>
      </c>
      <c r="EH60" s="17">
        <f t="shared" si="102"/>
        <v>62.114276311977868</v>
      </c>
    </row>
    <row r="61" spans="5:138" x14ac:dyDescent="0.25">
      <c r="E61" s="35"/>
      <c r="F61" s="21">
        <v>2.6666666666666668E-2</v>
      </c>
      <c r="G61" s="14">
        <f t="shared" si="10"/>
        <v>300</v>
      </c>
      <c r="H61" s="15">
        <f t="shared" si="11"/>
        <v>293.46037661206708</v>
      </c>
      <c r="I61" s="15">
        <f t="shared" si="12"/>
        <v>286.91936128181203</v>
      </c>
      <c r="J61" s="15">
        <f t="shared" si="13"/>
        <v>280.37557731861671</v>
      </c>
      <c r="K61" s="15">
        <f t="shared" si="14"/>
        <v>273.82767836811342</v>
      </c>
      <c r="L61" s="15">
        <f t="shared" si="15"/>
        <v>267.27436316425087</v>
      </c>
      <c r="M61" s="15">
        <f t="shared" si="16"/>
        <v>260.71438978720272</v>
      </c>
      <c r="N61" s="15">
        <f t="shared" si="17"/>
        <v>254.14658927086563</v>
      </c>
      <c r="O61" s="15">
        <f t="shared" si="18"/>
        <v>247.56987841082469</v>
      </c>
      <c r="P61" s="15">
        <f t="shared" si="19"/>
        <v>240.98327163243817</v>
      </c>
      <c r="Q61" s="15">
        <f t="shared" si="20"/>
        <v>234.38589178899923</v>
      </c>
      <c r="R61" s="15">
        <f t="shared" si="21"/>
        <v>227.77697977166889</v>
      </c>
      <c r="S61" s="15">
        <f t="shared" si="22"/>
        <v>221.15590282590239</v>
      </c>
      <c r="T61" s="15">
        <f t="shared" si="23"/>
        <v>214.52216148327676</v>
      </c>
      <c r="U61" s="15">
        <f t="shared" si="24"/>
        <v>207.87539503280533</v>
      </c>
      <c r="V61" s="15">
        <f t="shared" si="25"/>
        <v>201.21538547183724</v>
      </c>
      <c r="W61" s="15">
        <f t="shared" si="26"/>
        <v>194.54205989330404</v>
      </c>
      <c r="X61" s="15">
        <f t="shared" si="27"/>
        <v>187.85549128321242</v>
      </c>
      <c r="Y61" s="15">
        <f t="shared" si="28"/>
        <v>181.15589771970139</v>
      </c>
      <c r="Z61" s="15">
        <f t="shared" si="29"/>
        <v>174.44363998249668</v>
      </c>
      <c r="AA61" s="15">
        <f t="shared" si="30"/>
        <v>167.71921759900698</v>
      </c>
      <c r="AB61" s="15">
        <f t="shared" si="31"/>
        <v>160.98326337043125</v>
      </c>
      <c r="AC61" s="15">
        <f t="shared" si="32"/>
        <v>154.23653643789245</v>
      </c>
      <c r="AD61" s="15">
        <f t="shared" si="33"/>
        <v>147.47991396459994</v>
      </c>
      <c r="AE61" s="15">
        <f t="shared" si="34"/>
        <v>140.71438152519559</v>
      </c>
      <c r="AF61" s="15">
        <f t="shared" si="35"/>
        <v>133.94102230759165</v>
      </c>
      <c r="AG61" s="15">
        <f t="shared" si="36"/>
        <v>127.16100524560764</v>
      </c>
      <c r="AH61" s="15">
        <f t="shared" si="37"/>
        <v>120.37557221241542</v>
      </c>
      <c r="AI61" s="15">
        <f t="shared" si="120"/>
        <v>113.58602441508077</v>
      </c>
      <c r="AJ61" s="15">
        <f t="shared" si="103"/>
        <v>106.79370813923234</v>
      </c>
      <c r="AK61" s="14">
        <f t="shared" si="39"/>
        <v>100</v>
      </c>
      <c r="AL61" s="33"/>
      <c r="AM61" s="13">
        <v>2.6666666666666668E-2</v>
      </c>
      <c r="AN61" s="17">
        <f t="shared" si="40"/>
        <v>-1076400000</v>
      </c>
      <c r="AO61" s="18">
        <f t="shared" si="104"/>
        <v>-1052941593.9253101</v>
      </c>
      <c r="AP61" s="18">
        <f t="shared" si="41"/>
        <v>-1029478130.4195142</v>
      </c>
      <c r="AQ61" s="18">
        <f t="shared" si="42"/>
        <v>-1006004607.4666514</v>
      </c>
      <c r="AR61" s="18">
        <f t="shared" si="43"/>
        <v>-982516133.27369881</v>
      </c>
      <c r="AS61" s="18">
        <f t="shared" si="44"/>
        <v>-959007979.87032008</v>
      </c>
      <c r="AT61" s="18">
        <f t="shared" si="45"/>
        <v>-935475634.9131397</v>
      </c>
      <c r="AU61" s="18">
        <f t="shared" si="46"/>
        <v>-911914851.12679958</v>
      </c>
      <c r="AV61" s="18">
        <f t="shared" si="47"/>
        <v>-888321692.8399899</v>
      </c>
      <c r="AW61" s="18">
        <f t="shared" si="48"/>
        <v>-864692579.10650504</v>
      </c>
      <c r="AX61" s="18">
        <f t="shared" si="49"/>
        <v>-841024322.93883991</v>
      </c>
      <c r="AY61" s="18">
        <f t="shared" si="50"/>
        <v>-817314166.2244736</v>
      </c>
      <c r="AZ61" s="18">
        <f t="shared" si="51"/>
        <v>-793559809.94233465</v>
      </c>
      <c r="BA61" s="18">
        <f t="shared" si="52"/>
        <v>-769759439.34847891</v>
      </c>
      <c r="BB61" s="18">
        <f t="shared" si="53"/>
        <v>-745911743.85516191</v>
      </c>
      <c r="BC61" s="18">
        <f t="shared" si="54"/>
        <v>-722015931.3856715</v>
      </c>
      <c r="BD61" s="18">
        <f t="shared" si="55"/>
        <v>-698071737.04782712</v>
      </c>
      <c r="BE61" s="18">
        <f t="shared" si="56"/>
        <v>-674079426.03132272</v>
      </c>
      <c r="BF61" s="18">
        <f t="shared" si="57"/>
        <v>-650039790.69738042</v>
      </c>
      <c r="BG61" s="18">
        <f t="shared" si="58"/>
        <v>-625954141.89281797</v>
      </c>
      <c r="BH61" s="18">
        <f t="shared" si="59"/>
        <v>-601824294.5838933</v>
      </c>
      <c r="BI61" s="18">
        <f t="shared" si="60"/>
        <v>-577652547.9675144</v>
      </c>
      <c r="BJ61" s="18">
        <f t="shared" si="61"/>
        <v>-553441660.27787852</v>
      </c>
      <c r="BK61" s="18">
        <f t="shared" si="62"/>
        <v>-529194818.56468791</v>
      </c>
      <c r="BL61" s="18">
        <f t="shared" si="63"/>
        <v>-504915603.77414829</v>
      </c>
      <c r="BM61" s="18">
        <f t="shared" si="64"/>
        <v>-480607951.51537246</v>
      </c>
      <c r="BN61" s="18">
        <f t="shared" si="65"/>
        <v>-456276108.94204235</v>
      </c>
      <c r="BO61" s="18">
        <f t="shared" si="66"/>
        <v>-431924588.22169638</v>
      </c>
      <c r="BP61" s="18">
        <f t="shared" si="67"/>
        <v>-407558117.10235715</v>
      </c>
      <c r="BQ61" s="18">
        <f t="shared" si="68"/>
        <v>-383181587.11797494</v>
      </c>
      <c r="BR61" s="17">
        <f t="shared" si="69"/>
        <v>-358800000</v>
      </c>
      <c r="BT61" s="33"/>
      <c r="BU61" s="21">
        <v>2.6666666666666668E-2</v>
      </c>
      <c r="BV61" s="17">
        <v>0</v>
      </c>
      <c r="BW61" s="19">
        <f t="shared" ref="BW61:CY61" si="126">$B$20/($B$21-$B$22*BV61)</f>
        <v>0.34883720930232553</v>
      </c>
      <c r="BX61" s="19">
        <f t="shared" si="126"/>
        <v>0.39716748768472904</v>
      </c>
      <c r="BY61" s="19">
        <f t="shared" si="126"/>
        <v>0.40494040593779607</v>
      </c>
      <c r="BZ61" s="19">
        <f t="shared" si="126"/>
        <v>0.4062190081621499</v>
      </c>
      <c r="CA61" s="19">
        <f t="shared" si="126"/>
        <v>0.40643010492156101</v>
      </c>
      <c r="CB61" s="19">
        <f t="shared" si="126"/>
        <v>0.40646497802255066</v>
      </c>
      <c r="CC61" s="19">
        <f t="shared" si="126"/>
        <v>0.40647073962099717</v>
      </c>
      <c r="CD61" s="19">
        <f t="shared" si="126"/>
        <v>0.40647169154566137</v>
      </c>
      <c r="CE61" s="19">
        <f t="shared" si="126"/>
        <v>0.40647184882198806</v>
      </c>
      <c r="CF61" s="19">
        <f t="shared" si="126"/>
        <v>0.40647187480708435</v>
      </c>
      <c r="CG61" s="19">
        <f t="shared" si="126"/>
        <v>0.40647187910032606</v>
      </c>
      <c r="CH61" s="19">
        <f t="shared" si="126"/>
        <v>0.40647187980965277</v>
      </c>
      <c r="CI61" s="19">
        <f t="shared" si="126"/>
        <v>0.4064718799268473</v>
      </c>
      <c r="CJ61" s="19">
        <f t="shared" si="126"/>
        <v>0.40647187994621015</v>
      </c>
      <c r="CK61" s="19">
        <f t="shared" si="126"/>
        <v>0.40647187994940925</v>
      </c>
      <c r="CL61" s="19">
        <f t="shared" si="126"/>
        <v>0.40647187994993778</v>
      </c>
      <c r="CM61" s="19">
        <f t="shared" si="126"/>
        <v>0.40647187995002515</v>
      </c>
      <c r="CN61" s="19">
        <f t="shared" si="126"/>
        <v>0.40647187995003953</v>
      </c>
      <c r="CO61" s="19">
        <f t="shared" si="126"/>
        <v>0.40647187995004191</v>
      </c>
      <c r="CP61" s="19">
        <f t="shared" si="126"/>
        <v>0.40647187995004236</v>
      </c>
      <c r="CQ61" s="19">
        <f t="shared" si="126"/>
        <v>0.40647187995004236</v>
      </c>
      <c r="CR61" s="19">
        <f t="shared" si="126"/>
        <v>0.40647187995004236</v>
      </c>
      <c r="CS61" s="19">
        <f t="shared" si="126"/>
        <v>0.40647187995004236</v>
      </c>
      <c r="CT61" s="19">
        <f t="shared" si="126"/>
        <v>0.40647187995004236</v>
      </c>
      <c r="CU61" s="19">
        <f t="shared" si="126"/>
        <v>0.40647187995004236</v>
      </c>
      <c r="CV61" s="19">
        <f t="shared" si="126"/>
        <v>0.40647187995004236</v>
      </c>
      <c r="CW61" s="19">
        <f t="shared" si="126"/>
        <v>0.40647187995004236</v>
      </c>
      <c r="CX61" s="19">
        <f t="shared" si="126"/>
        <v>0.40647187995004236</v>
      </c>
      <c r="CY61" s="17">
        <f t="shared" si="126"/>
        <v>0.40647187995004236</v>
      </c>
      <c r="CZ61" s="12">
        <f t="shared" si="71"/>
        <v>100</v>
      </c>
      <c r="DB61" s="33"/>
      <c r="DC61" s="21">
        <v>2.6666666666666668E-2</v>
      </c>
      <c r="DD61" s="17">
        <f t="shared" si="72"/>
        <v>300</v>
      </c>
      <c r="DE61" s="19">
        <f t="shared" si="73"/>
        <v>193.37222732771406</v>
      </c>
      <c r="DF61" s="19">
        <f t="shared" si="74"/>
        <v>175.56329763002151</v>
      </c>
      <c r="DG61" s="19">
        <f t="shared" si="75"/>
        <v>169.49168608322859</v>
      </c>
      <c r="DH61" s="19">
        <f t="shared" si="76"/>
        <v>165.25575165636121</v>
      </c>
      <c r="DI61" s="19">
        <f t="shared" si="77"/>
        <v>161.31218636847728</v>
      </c>
      <c r="DJ61" s="19">
        <f t="shared" si="78"/>
        <v>157.41270196471413</v>
      </c>
      <c r="DK61" s="19">
        <f t="shared" si="79"/>
        <v>153.51667768533738</v>
      </c>
      <c r="DL61" s="19">
        <f t="shared" si="80"/>
        <v>149.61700035617994</v>
      </c>
      <c r="DM61" s="19">
        <f t="shared" si="81"/>
        <v>145.71200485917322</v>
      </c>
      <c r="DN61" s="19">
        <f t="shared" si="82"/>
        <v>141.80095578331367</v>
      </c>
      <c r="DO61" s="19">
        <f t="shared" si="83"/>
        <v>137.88332437589526</v>
      </c>
      <c r="DP61" s="19">
        <f t="shared" si="84"/>
        <v>133.958676586965</v>
      </c>
      <c r="DQ61" s="19">
        <f t="shared" si="85"/>
        <v>130.02665887375636</v>
      </c>
      <c r="DR61" s="19">
        <f t="shared" si="86"/>
        <v>126.08699902596632</v>
      </c>
      <c r="DS61" s="19">
        <f t="shared" si="87"/>
        <v>122.13950865777537</v>
      </c>
      <c r="DT61" s="19">
        <f t="shared" si="88"/>
        <v>118.18408519249755</v>
      </c>
      <c r="DU61" s="19">
        <f t="shared" si="89"/>
        <v>114.22071297305094</v>
      </c>
      <c r="DV61" s="19">
        <f t="shared" si="90"/>
        <v>110.24946343068808</v>
      </c>
      <c r="DW61" s="19">
        <f t="shared" si="91"/>
        <v>106.27049430127815</v>
      </c>
      <c r="DX61" s="19">
        <f t="shared" si="92"/>
        <v>102.28404789633501</v>
      </c>
      <c r="DY61" s="19">
        <f t="shared" si="93"/>
        <v>98.290448447537884</v>
      </c>
      <c r="DZ61" s="19">
        <f t="shared" si="94"/>
        <v>94.290098553831001</v>
      </c>
      <c r="EA61" s="19">
        <f t="shared" si="95"/>
        <v>90.283474770046183</v>
      </c>
      <c r="EB61" s="19">
        <f t="shared" si="96"/>
        <v>86.271122385398257</v>
      </c>
      <c r="EC61" s="19">
        <f t="shared" si="97"/>
        <v>82.253649449072313</v>
      </c>
      <c r="ED61" s="19">
        <f t="shared" si="98"/>
        <v>78.231720108365067</v>
      </c>
      <c r="EE61" s="19">
        <f t="shared" si="99"/>
        <v>74.206047332366126</v>
      </c>
      <c r="EF61" s="19">
        <f t="shared" si="100"/>
        <v>70.177385100890874</v>
      </c>
      <c r="EG61" s="19">
        <f t="shared" si="101"/>
        <v>66.146520144228091</v>
      </c>
      <c r="EH61" s="17">
        <f t="shared" si="102"/>
        <v>62.114263324181422</v>
      </c>
    </row>
    <row r="62" spans="5:138" x14ac:dyDescent="0.25">
      <c r="E62" s="35"/>
      <c r="F62" s="21">
        <v>2.3333333333333334E-2</v>
      </c>
      <c r="G62" s="14">
        <f t="shared" si="10"/>
        <v>300</v>
      </c>
      <c r="H62" s="15">
        <f t="shared" si="11"/>
        <v>293.46034777500347</v>
      </c>
      <c r="I62" s="15">
        <f t="shared" si="12"/>
        <v>286.91930392373456</v>
      </c>
      <c r="J62" s="15">
        <f t="shared" si="13"/>
        <v>280.37549206815766</v>
      </c>
      <c r="K62" s="15">
        <f t="shared" si="14"/>
        <v>273.82756615959124</v>
      </c>
      <c r="L62" s="15">
        <f t="shared" si="15"/>
        <v>267.27422522742046</v>
      </c>
      <c r="M62" s="15">
        <f t="shared" si="16"/>
        <v>260.71422763376574</v>
      </c>
      <c r="N62" s="15">
        <f t="shared" si="17"/>
        <v>254.14640467788882</v>
      </c>
      <c r="O62" s="15">
        <f t="shared" si="18"/>
        <v>247.56967340124896</v>
      </c>
      <c r="P62" s="15">
        <f t="shared" si="19"/>
        <v>240.98304845289306</v>
      </c>
      <c r="Q62" s="15">
        <f t="shared" si="20"/>
        <v>234.38565288516628</v>
      </c>
      <c r="R62" s="15">
        <f t="shared" si="21"/>
        <v>227.77672776146539</v>
      </c>
      <c r="S62" s="15">
        <f t="shared" si="22"/>
        <v>221.15564047077973</v>
      </c>
      <c r="T62" s="15">
        <f t="shared" si="23"/>
        <v>214.52189165794908</v>
      </c>
      <c r="U62" s="15">
        <f t="shared" si="24"/>
        <v>207.8751206937406</v>
      </c>
      <c r="V62" s="15">
        <f t="shared" si="25"/>
        <v>201.2151096248565</v>
      </c>
      <c r="W62" s="15">
        <f t="shared" si="26"/>
        <v>194.54178556064454</v>
      </c>
      <c r="X62" s="15">
        <f t="shared" si="27"/>
        <v>187.85522147041527</v>
      </c>
      <c r="Y62" s="15">
        <f t="shared" si="28"/>
        <v>181.15563538268688</v>
      </c>
      <c r="Z62" s="15">
        <f t="shared" si="29"/>
        <v>174.44338799518758</v>
      </c>
      <c r="AA62" s="15">
        <f t="shared" si="30"/>
        <v>167.71897872185409</v>
      </c>
      <c r="AB62" s="15">
        <f t="shared" si="31"/>
        <v>160.98304022018573</v>
      </c>
      <c r="AC62" s="15">
        <f t="shared" si="32"/>
        <v>154.23633145895533</v>
      </c>
      <c r="AD62" s="15">
        <f t="shared" si="33"/>
        <v>147.47972940226174</v>
      </c>
      <c r="AE62" s="15">
        <f t="shared" si="34"/>
        <v>140.71421940105819</v>
      </c>
      <c r="AF62" s="15">
        <f t="shared" si="35"/>
        <v>133.94088439744124</v>
      </c>
      <c r="AG62" s="15">
        <f t="shared" si="36"/>
        <v>127.16089305997986</v>
      </c>
      <c r="AH62" s="15">
        <f t="shared" si="37"/>
        <v>120.37548698006461</v>
      </c>
      <c r="AI62" s="15">
        <f t="shared" si="120"/>
        <v>113.58596706953387</v>
      </c>
      <c r="AJ62" s="15">
        <f t="shared" si="103"/>
        <v>106.79367930857396</v>
      </c>
      <c r="AK62" s="14">
        <f t="shared" si="39"/>
        <v>100</v>
      </c>
      <c r="AL62" s="33"/>
      <c r="AM62" s="13">
        <v>2.3333333333333334E-2</v>
      </c>
      <c r="AN62" s="17">
        <f t="shared" si="40"/>
        <v>-1076400000</v>
      </c>
      <c r="AO62" s="18">
        <f t="shared" si="104"/>
        <v>-1052941489.14948</v>
      </c>
      <c r="AP62" s="18">
        <f t="shared" si="41"/>
        <v>-1029477922.0161948</v>
      </c>
      <c r="AQ62" s="18">
        <f t="shared" si="42"/>
        <v>-1006004297.7199265</v>
      </c>
      <c r="AR62" s="18">
        <f t="shared" si="43"/>
        <v>-982515725.57833588</v>
      </c>
      <c r="AS62" s="18">
        <f t="shared" si="44"/>
        <v>-959007478.69452786</v>
      </c>
      <c r="AT62" s="18">
        <f t="shared" si="45"/>
        <v>-935475045.74955165</v>
      </c>
      <c r="AU62" s="18">
        <f t="shared" si="46"/>
        <v>-911914180.4322232</v>
      </c>
      <c r="AV62" s="18">
        <f t="shared" si="47"/>
        <v>-888320947.96458602</v>
      </c>
      <c r="AW62" s="18">
        <f t="shared" si="48"/>
        <v>-864691768.21317554</v>
      </c>
      <c r="AX62" s="18">
        <f t="shared" si="49"/>
        <v>-841023454.91371</v>
      </c>
      <c r="AY62" s="18">
        <f t="shared" si="50"/>
        <v>-817313250.57945466</v>
      </c>
      <c r="AZ62" s="18">
        <f t="shared" si="51"/>
        <v>-793558856.71083808</v>
      </c>
      <c r="BA62" s="18">
        <f t="shared" si="52"/>
        <v>-769758458.97542596</v>
      </c>
      <c r="BB62" s="18">
        <f t="shared" si="53"/>
        <v>-745910747.08249819</v>
      </c>
      <c r="BC62" s="18">
        <f t="shared" si="54"/>
        <v>-722014929.13464224</v>
      </c>
      <c r="BD62" s="18">
        <f t="shared" si="55"/>
        <v>-698070740.29930437</v>
      </c>
      <c r="BE62" s="18">
        <f t="shared" si="56"/>
        <v>-674078445.70549643</v>
      </c>
      <c r="BF62" s="18">
        <f t="shared" si="57"/>
        <v>-650038837.53413236</v>
      </c>
      <c r="BG62" s="18">
        <f t="shared" si="58"/>
        <v>-625953226.33408654</v>
      </c>
      <c r="BH62" s="18">
        <f t="shared" si="59"/>
        <v>-601823426.65931869</v>
      </c>
      <c r="BI62" s="18">
        <f t="shared" si="60"/>
        <v>-577651737.18461323</v>
      </c>
      <c r="BJ62" s="18">
        <f t="shared" si="61"/>
        <v>-553440915.51794982</v>
      </c>
      <c r="BK62" s="18">
        <f t="shared" si="62"/>
        <v>-529194147.98558652</v>
      </c>
      <c r="BL62" s="18">
        <f t="shared" si="63"/>
        <v>-504915014.72098833</v>
      </c>
      <c r="BM62" s="18">
        <f t="shared" si="64"/>
        <v>-480607450.44013536</v>
      </c>
      <c r="BN62" s="18">
        <f t="shared" si="65"/>
        <v>-456275701.33296692</v>
      </c>
      <c r="BO62" s="18">
        <f t="shared" si="66"/>
        <v>-431924278.54321992</v>
      </c>
      <c r="BP62" s="18">
        <f t="shared" si="67"/>
        <v>-407557908.7462644</v>
      </c>
      <c r="BQ62" s="18">
        <f t="shared" si="68"/>
        <v>-383181482.3662855</v>
      </c>
      <c r="BR62" s="17">
        <f t="shared" si="69"/>
        <v>-358800000</v>
      </c>
      <c r="BT62" s="33"/>
      <c r="BU62" s="21">
        <v>2.3333333333333334E-2</v>
      </c>
      <c r="BV62" s="17">
        <v>0</v>
      </c>
      <c r="BW62" s="19">
        <f t="shared" ref="BW62:CY62" si="127">$B$20/($B$21-$B$22*BV62)</f>
        <v>0.34883720930232553</v>
      </c>
      <c r="BX62" s="19">
        <f t="shared" si="127"/>
        <v>0.39716748768472904</v>
      </c>
      <c r="BY62" s="19">
        <f t="shared" si="127"/>
        <v>0.40494040593779607</v>
      </c>
      <c r="BZ62" s="19">
        <f t="shared" si="127"/>
        <v>0.4062190081621499</v>
      </c>
      <c r="CA62" s="19">
        <f t="shared" si="127"/>
        <v>0.40643010492156101</v>
      </c>
      <c r="CB62" s="19">
        <f t="shared" si="127"/>
        <v>0.40646497802255066</v>
      </c>
      <c r="CC62" s="19">
        <f t="shared" si="127"/>
        <v>0.40647073962099717</v>
      </c>
      <c r="CD62" s="19">
        <f t="shared" si="127"/>
        <v>0.40647169154566137</v>
      </c>
      <c r="CE62" s="19">
        <f t="shared" si="127"/>
        <v>0.40647184882198806</v>
      </c>
      <c r="CF62" s="19">
        <f t="shared" si="127"/>
        <v>0.40647187480708435</v>
      </c>
      <c r="CG62" s="19">
        <f t="shared" si="127"/>
        <v>0.40647187910032606</v>
      </c>
      <c r="CH62" s="19">
        <f t="shared" si="127"/>
        <v>0.40647187980965277</v>
      </c>
      <c r="CI62" s="19">
        <f t="shared" si="127"/>
        <v>0.4064718799268473</v>
      </c>
      <c r="CJ62" s="19">
        <f t="shared" si="127"/>
        <v>0.40647187994621015</v>
      </c>
      <c r="CK62" s="19">
        <f t="shared" si="127"/>
        <v>0.40647187994940925</v>
      </c>
      <c r="CL62" s="19">
        <f t="shared" si="127"/>
        <v>0.40647187994993778</v>
      </c>
      <c r="CM62" s="19">
        <f t="shared" si="127"/>
        <v>0.40647187995002515</v>
      </c>
      <c r="CN62" s="19">
        <f t="shared" si="127"/>
        <v>0.40647187995003953</v>
      </c>
      <c r="CO62" s="19">
        <f t="shared" si="127"/>
        <v>0.40647187995004191</v>
      </c>
      <c r="CP62" s="19">
        <f t="shared" si="127"/>
        <v>0.40647187995004236</v>
      </c>
      <c r="CQ62" s="19">
        <f t="shared" si="127"/>
        <v>0.40647187995004236</v>
      </c>
      <c r="CR62" s="19">
        <f t="shared" si="127"/>
        <v>0.40647187995004236</v>
      </c>
      <c r="CS62" s="19">
        <f t="shared" si="127"/>
        <v>0.40647187995004236</v>
      </c>
      <c r="CT62" s="19">
        <f t="shared" si="127"/>
        <v>0.40647187995004236</v>
      </c>
      <c r="CU62" s="19">
        <f t="shared" si="127"/>
        <v>0.40647187995004236</v>
      </c>
      <c r="CV62" s="19">
        <f t="shared" si="127"/>
        <v>0.40647187995004236</v>
      </c>
      <c r="CW62" s="19">
        <f t="shared" si="127"/>
        <v>0.40647187995004236</v>
      </c>
      <c r="CX62" s="19">
        <f t="shared" si="127"/>
        <v>0.40647187995004236</v>
      </c>
      <c r="CY62" s="17">
        <f t="shared" si="127"/>
        <v>0.40647187995004236</v>
      </c>
      <c r="CZ62" s="12">
        <f t="shared" si="71"/>
        <v>100</v>
      </c>
      <c r="DB62" s="33"/>
      <c r="DC62" s="21">
        <v>2.3333333333333334E-2</v>
      </c>
      <c r="DD62" s="17">
        <f t="shared" si="72"/>
        <v>300</v>
      </c>
      <c r="DE62" s="19">
        <f t="shared" si="73"/>
        <v>193.37221849928213</v>
      </c>
      <c r="DF62" s="19">
        <f t="shared" si="74"/>
        <v>175.56327413065472</v>
      </c>
      <c r="DG62" s="19">
        <f t="shared" si="75"/>
        <v>169.49164627053409</v>
      </c>
      <c r="DH62" s="19">
        <f t="shared" si="76"/>
        <v>165.25569548040147</v>
      </c>
      <c r="DI62" s="19">
        <f t="shared" si="77"/>
        <v>161.31211433568529</v>
      </c>
      <c r="DJ62" s="19">
        <f t="shared" si="78"/>
        <v>157.41261484185742</v>
      </c>
      <c r="DK62" s="19">
        <f t="shared" si="79"/>
        <v>153.51657642275444</v>
      </c>
      <c r="DL62" s="19">
        <f t="shared" si="80"/>
        <v>149.61688606277144</v>
      </c>
      <c r="DM62" s="19">
        <f t="shared" si="81"/>
        <v>145.71187878731078</v>
      </c>
      <c r="DN62" s="19">
        <f t="shared" si="82"/>
        <v>141.8008193145406</v>
      </c>
      <c r="DO62" s="19">
        <f t="shared" si="83"/>
        <v>137.88317900567145</v>
      </c>
      <c r="DP62" s="19">
        <f t="shared" si="84"/>
        <v>133.9585239082505</v>
      </c>
      <c r="DQ62" s="19">
        <f t="shared" si="85"/>
        <v>130.02650055954408</v>
      </c>
      <c r="DR62" s="19">
        <f t="shared" si="86"/>
        <v>126.08683681094242</v>
      </c>
      <c r="DS62" s="19">
        <f t="shared" si="87"/>
        <v>122.13934431930646</v>
      </c>
      <c r="DT62" s="19">
        <f t="shared" si="88"/>
        <v>118.18392053115292</v>
      </c>
      <c r="DU62" s="19">
        <f t="shared" si="89"/>
        <v>114.22054979287324</v>
      </c>
      <c r="DV62" s="19">
        <f t="shared" si="90"/>
        <v>110.24930351942884</v>
      </c>
      <c r="DW62" s="19">
        <f t="shared" si="91"/>
        <v>106.27033941081447</v>
      </c>
      <c r="DX62" s="19">
        <f t="shared" si="92"/>
        <v>102.28389972348191</v>
      </c>
      <c r="DY62" s="19">
        <f t="shared" si="93"/>
        <v>98.290308615466287</v>
      </c>
      <c r="DZ62" s="19">
        <f t="shared" si="94"/>
        <v>94.289968594294479</v>
      </c>
      <c r="EA62" s="19">
        <f t="shared" si="95"/>
        <v>90.283356106610896</v>
      </c>
      <c r="EB62" s="19">
        <f t="shared" si="96"/>
        <v>86.271016317858951</v>
      </c>
      <c r="EC62" s="19">
        <f t="shared" si="97"/>
        <v>82.253557139224938</v>
      </c>
      <c r="ED62" s="19">
        <f t="shared" si="98"/>
        <v>78.231642567291146</v>
      </c>
      <c r="EE62" s="19">
        <f t="shared" si="99"/>
        <v>74.205985409367571</v>
      </c>
      <c r="EF62" s="19">
        <f t="shared" si="100"/>
        <v>70.177339474195875</v>
      </c>
      <c r="EG62" s="19">
        <f t="shared" si="101"/>
        <v>66.146491313569712</v>
      </c>
      <c r="EH62" s="17">
        <f t="shared" si="102"/>
        <v>62.114251605329514</v>
      </c>
    </row>
    <row r="63" spans="5:138" x14ac:dyDescent="0.25">
      <c r="E63" s="35"/>
      <c r="F63" s="21">
        <v>0.02</v>
      </c>
      <c r="G63" s="14">
        <f t="shared" si="10"/>
        <v>300</v>
      </c>
      <c r="H63" s="15">
        <f t="shared" si="11"/>
        <v>293.4603223985344</v>
      </c>
      <c r="I63" s="15">
        <f t="shared" si="12"/>
        <v>286.91925344891871</v>
      </c>
      <c r="J63" s="15">
        <f t="shared" si="13"/>
        <v>280.37541704818818</v>
      </c>
      <c r="K63" s="15">
        <f t="shared" si="14"/>
        <v>273.82746741666358</v>
      </c>
      <c r="L63" s="15">
        <f t="shared" si="15"/>
        <v>267.27410384371262</v>
      </c>
      <c r="M63" s="15">
        <f t="shared" si="16"/>
        <v>260.7140849395675</v>
      </c>
      <c r="N63" s="15">
        <f t="shared" si="17"/>
        <v>254.14624223700983</v>
      </c>
      <c r="O63" s="15">
        <f t="shared" si="18"/>
        <v>247.56949299386702</v>
      </c>
      <c r="P63" s="15">
        <f t="shared" si="19"/>
        <v>240.98285205603065</v>
      </c>
      <c r="Q63" s="15">
        <f t="shared" si="20"/>
        <v>234.38544265101069</v>
      </c>
      <c r="R63" s="15">
        <f t="shared" si="21"/>
        <v>227.77650599377046</v>
      </c>
      <c r="S63" s="15">
        <f t="shared" si="22"/>
        <v>221.15540959960867</v>
      </c>
      <c r="T63" s="15">
        <f t="shared" si="23"/>
        <v>214.52165421303565</v>
      </c>
      <c r="U63" s="15">
        <f t="shared" si="24"/>
        <v>207.87487927676148</v>
      </c>
      <c r="V63" s="15">
        <f t="shared" si="25"/>
        <v>201.21486688091895</v>
      </c>
      <c r="W63" s="15">
        <f t="shared" si="26"/>
        <v>194.54154414930196</v>
      </c>
      <c r="X63" s="15">
        <f t="shared" si="27"/>
        <v>187.85498403652852</v>
      </c>
      <c r="Y63" s="15">
        <f t="shared" si="28"/>
        <v>181.15540452745074</v>
      </c>
      <c r="Z63" s="15">
        <f t="shared" si="29"/>
        <v>174.4431662476394</v>
      </c>
      <c r="AA63" s="15">
        <f t="shared" si="30"/>
        <v>167.71876851117653</v>
      </c>
      <c r="AB63" s="15">
        <f t="shared" si="31"/>
        <v>160.98284384910656</v>
      </c>
      <c r="AC63" s="15">
        <f t="shared" si="32"/>
        <v>154.23615107853504</v>
      </c>
      <c r="AD63" s="15">
        <f t="shared" si="33"/>
        <v>147.4795669883444</v>
      </c>
      <c r="AE63" s="15">
        <f t="shared" si="34"/>
        <v>140.71407673264321</v>
      </c>
      <c r="AF63" s="15">
        <f t="shared" si="35"/>
        <v>133.9407630372115</v>
      </c>
      <c r="AG63" s="15">
        <f t="shared" si="36"/>
        <v>127.16079433719894</v>
      </c>
      <c r="AH63" s="15">
        <f t="shared" si="37"/>
        <v>120.37541197603007</v>
      </c>
      <c r="AI63" s="15">
        <f t="shared" si="120"/>
        <v>113.58591660574471</v>
      </c>
      <c r="AJ63" s="15">
        <f t="shared" si="103"/>
        <v>106.79365393774145</v>
      </c>
      <c r="AK63" s="14">
        <f t="shared" si="39"/>
        <v>100</v>
      </c>
      <c r="AL63" s="33"/>
      <c r="AM63" s="13">
        <v>0.02</v>
      </c>
      <c r="AN63" s="17">
        <f t="shared" si="40"/>
        <v>-1076400000</v>
      </c>
      <c r="AO63" s="18">
        <f t="shared" si="104"/>
        <v>-1052941396.9472831</v>
      </c>
      <c r="AP63" s="18">
        <f t="shared" si="41"/>
        <v>-1029477738.6223359</v>
      </c>
      <c r="AQ63" s="18">
        <f t="shared" si="42"/>
        <v>-1006004025.1443871</v>
      </c>
      <c r="AR63" s="18">
        <f t="shared" si="43"/>
        <v>-982515366.80849409</v>
      </c>
      <c r="AS63" s="18">
        <f t="shared" si="44"/>
        <v>-959007037.66238451</v>
      </c>
      <c r="AT63" s="18">
        <f t="shared" si="45"/>
        <v>-935474527.28859603</v>
      </c>
      <c r="AU63" s="18">
        <f t="shared" si="46"/>
        <v>-911913590.22441351</v>
      </c>
      <c r="AV63" s="18">
        <f t="shared" si="47"/>
        <v>-888320292.47802651</v>
      </c>
      <c r="AW63" s="18">
        <f t="shared" si="48"/>
        <v>-864691054.6311779</v>
      </c>
      <c r="AX63" s="18">
        <f t="shared" si="49"/>
        <v>-841022691.05601871</v>
      </c>
      <c r="AY63" s="18">
        <f t="shared" si="50"/>
        <v>-817312444.81650364</v>
      </c>
      <c r="AZ63" s="18">
        <f t="shared" si="51"/>
        <v>-793558017.8719784</v>
      </c>
      <c r="BA63" s="18">
        <f t="shared" si="52"/>
        <v>-769757596.25213492</v>
      </c>
      <c r="BB63" s="18">
        <f t="shared" si="53"/>
        <v>-745909869.92763329</v>
      </c>
      <c r="BC63" s="18">
        <f t="shared" si="54"/>
        <v>-722014047.1588434</v>
      </c>
      <c r="BD63" s="18">
        <f t="shared" si="55"/>
        <v>-698069863.16568303</v>
      </c>
      <c r="BE63" s="18">
        <f t="shared" si="56"/>
        <v>-674077583.02376425</v>
      </c>
      <c r="BF63" s="18">
        <f t="shared" si="57"/>
        <v>-650037998.75533044</v>
      </c>
      <c r="BG63" s="18">
        <f t="shared" si="58"/>
        <v>-625952420.64706767</v>
      </c>
      <c r="BH63" s="18">
        <f t="shared" si="59"/>
        <v>-601822662.8901149</v>
      </c>
      <c r="BI63" s="18">
        <f t="shared" si="60"/>
        <v>-577651023.69979095</v>
      </c>
      <c r="BJ63" s="18">
        <f t="shared" si="61"/>
        <v>-553440260.13300693</v>
      </c>
      <c r="BK63" s="18">
        <f t="shared" si="62"/>
        <v>-529193557.8793937</v>
      </c>
      <c r="BL63" s="18">
        <f t="shared" si="63"/>
        <v>-504914496.35720849</v>
      </c>
      <c r="BM63" s="18">
        <f t="shared" si="64"/>
        <v>-480607009.49647957</v>
      </c>
      <c r="BN63" s="18">
        <f t="shared" si="65"/>
        <v>-456275342.63905704</v>
      </c>
      <c r="BO63" s="18">
        <f t="shared" si="66"/>
        <v>-431924006.02773827</v>
      </c>
      <c r="BP63" s="18">
        <f t="shared" si="67"/>
        <v>-407557725.39396423</v>
      </c>
      <c r="BQ63" s="18">
        <f t="shared" si="68"/>
        <v>-383181390.18533248</v>
      </c>
      <c r="BR63" s="17">
        <f t="shared" si="69"/>
        <v>-358800000</v>
      </c>
      <c r="BT63" s="33"/>
      <c r="BU63" s="21">
        <v>0.02</v>
      </c>
      <c r="BV63" s="17">
        <v>0</v>
      </c>
      <c r="BW63" s="19">
        <f t="shared" ref="BW63:CY63" si="128">$B$20/($B$21-$B$22*BV63)</f>
        <v>0.34883720930232553</v>
      </c>
      <c r="BX63" s="19">
        <f t="shared" si="128"/>
        <v>0.39716748768472904</v>
      </c>
      <c r="BY63" s="19">
        <f t="shared" si="128"/>
        <v>0.40494040593779607</v>
      </c>
      <c r="BZ63" s="19">
        <f t="shared" si="128"/>
        <v>0.4062190081621499</v>
      </c>
      <c r="CA63" s="19">
        <f t="shared" si="128"/>
        <v>0.40643010492156101</v>
      </c>
      <c r="CB63" s="19">
        <f t="shared" si="128"/>
        <v>0.40646497802255066</v>
      </c>
      <c r="CC63" s="19">
        <f t="shared" si="128"/>
        <v>0.40647073962099717</v>
      </c>
      <c r="CD63" s="19">
        <f t="shared" si="128"/>
        <v>0.40647169154566137</v>
      </c>
      <c r="CE63" s="19">
        <f t="shared" si="128"/>
        <v>0.40647184882198806</v>
      </c>
      <c r="CF63" s="19">
        <f t="shared" si="128"/>
        <v>0.40647187480708435</v>
      </c>
      <c r="CG63" s="19">
        <f t="shared" si="128"/>
        <v>0.40647187910032606</v>
      </c>
      <c r="CH63" s="19">
        <f t="shared" si="128"/>
        <v>0.40647187980965277</v>
      </c>
      <c r="CI63" s="19">
        <f t="shared" si="128"/>
        <v>0.4064718799268473</v>
      </c>
      <c r="CJ63" s="19">
        <f t="shared" si="128"/>
        <v>0.40647187994621015</v>
      </c>
      <c r="CK63" s="19">
        <f t="shared" si="128"/>
        <v>0.40647187994940925</v>
      </c>
      <c r="CL63" s="19">
        <f t="shared" si="128"/>
        <v>0.40647187994993778</v>
      </c>
      <c r="CM63" s="19">
        <f t="shared" si="128"/>
        <v>0.40647187995002515</v>
      </c>
      <c r="CN63" s="19">
        <f t="shared" si="128"/>
        <v>0.40647187995003953</v>
      </c>
      <c r="CO63" s="19">
        <f t="shared" si="128"/>
        <v>0.40647187995004191</v>
      </c>
      <c r="CP63" s="19">
        <f t="shared" si="128"/>
        <v>0.40647187995004236</v>
      </c>
      <c r="CQ63" s="19">
        <f t="shared" si="128"/>
        <v>0.40647187995004236</v>
      </c>
      <c r="CR63" s="19">
        <f t="shared" si="128"/>
        <v>0.40647187995004236</v>
      </c>
      <c r="CS63" s="19">
        <f t="shared" si="128"/>
        <v>0.40647187995004236</v>
      </c>
      <c r="CT63" s="19">
        <f t="shared" si="128"/>
        <v>0.40647187995004236</v>
      </c>
      <c r="CU63" s="19">
        <f t="shared" si="128"/>
        <v>0.40647187995004236</v>
      </c>
      <c r="CV63" s="19">
        <f t="shared" si="128"/>
        <v>0.40647187995004236</v>
      </c>
      <c r="CW63" s="19">
        <f t="shared" si="128"/>
        <v>0.40647187995004236</v>
      </c>
      <c r="CX63" s="19">
        <f t="shared" si="128"/>
        <v>0.40647187995004236</v>
      </c>
      <c r="CY63" s="17">
        <f t="shared" si="128"/>
        <v>0.40647187995004236</v>
      </c>
      <c r="CZ63" s="12">
        <f t="shared" si="71"/>
        <v>100</v>
      </c>
      <c r="DB63" s="33"/>
      <c r="DC63" s="21">
        <v>0.02</v>
      </c>
      <c r="DD63" s="17">
        <f t="shared" si="72"/>
        <v>300</v>
      </c>
      <c r="DE63" s="19">
        <f t="shared" si="73"/>
        <v>193.37221073030696</v>
      </c>
      <c r="DF63" s="19">
        <f t="shared" si="74"/>
        <v>175.56325345133166</v>
      </c>
      <c r="DG63" s="19">
        <f t="shared" si="75"/>
        <v>169.49161123556584</v>
      </c>
      <c r="DH63" s="19">
        <f t="shared" si="76"/>
        <v>165.25564604584321</v>
      </c>
      <c r="DI63" s="19">
        <f t="shared" si="77"/>
        <v>161.31205094719542</v>
      </c>
      <c r="DJ63" s="19">
        <f t="shared" si="78"/>
        <v>157.41253817418746</v>
      </c>
      <c r="DK63" s="19">
        <f t="shared" si="79"/>
        <v>153.51648731219743</v>
      </c>
      <c r="DL63" s="19">
        <f t="shared" si="80"/>
        <v>149.6167854851544</v>
      </c>
      <c r="DM63" s="19">
        <f t="shared" si="81"/>
        <v>145.71176784471427</v>
      </c>
      <c r="DN63" s="19">
        <f t="shared" si="82"/>
        <v>141.80069922271574</v>
      </c>
      <c r="DO63" s="19">
        <f t="shared" si="83"/>
        <v>137.88305108061525</v>
      </c>
      <c r="DP63" s="19">
        <f t="shared" si="84"/>
        <v>133.95838955175975</v>
      </c>
      <c r="DQ63" s="19">
        <f t="shared" si="85"/>
        <v>130.02636124384398</v>
      </c>
      <c r="DR63" s="19">
        <f t="shared" si="86"/>
        <v>126.08669406254793</v>
      </c>
      <c r="DS63" s="19">
        <f t="shared" si="87"/>
        <v>122.13919970229118</v>
      </c>
      <c r="DT63" s="19">
        <f t="shared" si="88"/>
        <v>118.18377563000864</v>
      </c>
      <c r="DU63" s="19">
        <f t="shared" si="89"/>
        <v>114.22040619514831</v>
      </c>
      <c r="DV63" s="19">
        <f t="shared" si="90"/>
        <v>110.24916279833549</v>
      </c>
      <c r="DW63" s="19">
        <f t="shared" si="91"/>
        <v>106.27020310799558</v>
      </c>
      <c r="DX63" s="19">
        <f t="shared" si="92"/>
        <v>102.28376933212608</v>
      </c>
      <c r="DY63" s="19">
        <f t="shared" si="93"/>
        <v>98.290185563955674</v>
      </c>
      <c r="DZ63" s="19">
        <f t="shared" si="94"/>
        <v>94.289854230564472</v>
      </c>
      <c r="EA63" s="19">
        <f t="shared" si="95"/>
        <v>90.283251683392407</v>
      </c>
      <c r="EB63" s="19">
        <f t="shared" si="96"/>
        <v>86.27092297896472</v>
      </c>
      <c r="EC63" s="19">
        <f t="shared" si="97"/>
        <v>82.253475907029539</v>
      </c>
      <c r="ED63" s="19">
        <f t="shared" si="98"/>
        <v>78.231574331541154</v>
      </c>
      <c r="EE63" s="19">
        <f t="shared" si="99"/>
        <v>74.205930917444277</v>
      </c>
      <c r="EF63" s="19">
        <f t="shared" si="100"/>
        <v>70.177299322936705</v>
      </c>
      <c r="EG63" s="19">
        <f t="shared" si="101"/>
        <v>66.146465942737208</v>
      </c>
      <c r="EH63" s="17">
        <f t="shared" si="102"/>
        <v>62.11424129279952</v>
      </c>
    </row>
    <row r="64" spans="5:138" x14ac:dyDescent="0.25">
      <c r="E64" s="35"/>
      <c r="F64" s="21">
        <v>1.6666666666666666E-2</v>
      </c>
      <c r="G64" s="14">
        <f t="shared" si="10"/>
        <v>300</v>
      </c>
      <c r="H64" s="15">
        <f t="shared" si="11"/>
        <v>293.46030078013928</v>
      </c>
      <c r="I64" s="15">
        <f t="shared" si="12"/>
        <v>286.91921044906269</v>
      </c>
      <c r="J64" s="15">
        <f t="shared" si="13"/>
        <v>280.37535313814055</v>
      </c>
      <c r="K64" s="15">
        <f t="shared" si="14"/>
        <v>273.82738329685833</v>
      </c>
      <c r="L64" s="15">
        <f t="shared" si="15"/>
        <v>267.27400043606508</v>
      </c>
      <c r="M64" s="15">
        <f t="shared" si="16"/>
        <v>260.71396337736098</v>
      </c>
      <c r="N64" s="15">
        <f t="shared" si="17"/>
        <v>254.14610385246499</v>
      </c>
      <c r="O64" s="15">
        <f t="shared" si="18"/>
        <v>247.56933930353</v>
      </c>
      <c r="P64" s="15">
        <f t="shared" si="19"/>
        <v>240.98268474414101</v>
      </c>
      <c r="Q64" s="15">
        <f t="shared" si="20"/>
        <v>234.38526355103221</v>
      </c>
      <c r="R64" s="15">
        <f t="shared" si="21"/>
        <v>227.77631706828743</v>
      </c>
      <c r="S64" s="15">
        <f t="shared" si="22"/>
        <v>221.15521291880927</v>
      </c>
      <c r="T64" s="15">
        <f t="shared" si="23"/>
        <v>214.52145193201818</v>
      </c>
      <c r="U64" s="15">
        <f t="shared" si="24"/>
        <v>207.87467361191287</v>
      </c>
      <c r="V64" s="15">
        <f t="shared" si="25"/>
        <v>201.21466008562493</v>
      </c>
      <c r="W64" s="15">
        <f t="shared" si="26"/>
        <v>194.54133848925505</v>
      </c>
      <c r="X64" s="15">
        <f t="shared" si="27"/>
        <v>187.85478176490469</v>
      </c>
      <c r="Y64" s="15">
        <f t="shared" si="28"/>
        <v>181.15520786022637</v>
      </c>
      <c r="Z64" s="15">
        <f t="shared" si="29"/>
        <v>174.4429773393195</v>
      </c>
      <c r="AA64" s="15">
        <f t="shared" si="30"/>
        <v>167.71858943119912</v>
      </c>
      <c r="AB64" s="15">
        <f t="shared" si="31"/>
        <v>160.98267655918178</v>
      </c>
      <c r="AC64" s="15">
        <f t="shared" si="32"/>
        <v>154.23599741116669</v>
      </c>
      <c r="AD64" s="15">
        <f t="shared" si="33"/>
        <v>147.47942862676825</v>
      </c>
      <c r="AE64" s="15">
        <f t="shared" si="34"/>
        <v>140.71395519240156</v>
      </c>
      <c r="AF64" s="15">
        <f t="shared" si="35"/>
        <v>133.94065964956499</v>
      </c>
      <c r="AG64" s="15">
        <f t="shared" si="36"/>
        <v>127.16071023455676</v>
      </c>
      <c r="AH64" s="15">
        <f t="shared" si="37"/>
        <v>120.37534807955734</v>
      </c>
      <c r="AI64" s="15">
        <f t="shared" si="120"/>
        <v>113.58587361528228</v>
      </c>
      <c r="AJ64" s="15">
        <f t="shared" si="103"/>
        <v>106.79363232414801</v>
      </c>
      <c r="AK64" s="14">
        <f t="shared" si="39"/>
        <v>100</v>
      </c>
      <c r="AL64" s="33"/>
      <c r="AM64" s="13">
        <v>1.6666666666666666E-2</v>
      </c>
      <c r="AN64" s="17">
        <f t="shared" si="40"/>
        <v>-1076400000</v>
      </c>
      <c r="AO64" s="18">
        <f t="shared" si="104"/>
        <v>-1052941318.3995733</v>
      </c>
      <c r="AP64" s="18">
        <f t="shared" si="41"/>
        <v>-1029477582.3877976</v>
      </c>
      <c r="AQ64" s="18">
        <f t="shared" si="42"/>
        <v>-1006003792.9353385</v>
      </c>
      <c r="AR64" s="18">
        <f t="shared" si="43"/>
        <v>-982515061.16990376</v>
      </c>
      <c r="AS64" s="18">
        <f t="shared" si="44"/>
        <v>-959006661.94395208</v>
      </c>
      <c r="AT64" s="18">
        <f t="shared" si="45"/>
        <v>-935474085.60800576</v>
      </c>
      <c r="AU64" s="18">
        <f t="shared" si="46"/>
        <v>-911913087.42216563</v>
      </c>
      <c r="AV64" s="18">
        <f t="shared" si="47"/>
        <v>-888319734.06434536</v>
      </c>
      <c r="AW64" s="18">
        <f t="shared" si="48"/>
        <v>-864690446.72557795</v>
      </c>
      <c r="AX64" s="18">
        <f t="shared" si="49"/>
        <v>-841022040.32019675</v>
      </c>
      <c r="AY64" s="18">
        <f t="shared" si="50"/>
        <v>-817311758.38129163</v>
      </c>
      <c r="AZ64" s="18">
        <f t="shared" si="51"/>
        <v>-793557303.25916314</v>
      </c>
      <c r="BA64" s="18">
        <f t="shared" si="52"/>
        <v>-769756861.29200208</v>
      </c>
      <c r="BB64" s="18">
        <f t="shared" si="53"/>
        <v>-745909122.67313933</v>
      </c>
      <c r="BC64" s="18">
        <f t="shared" si="54"/>
        <v>-722013295.79736149</v>
      </c>
      <c r="BD64" s="18">
        <f t="shared" si="55"/>
        <v>-698069115.92928672</v>
      </c>
      <c r="BE64" s="18">
        <f t="shared" si="56"/>
        <v>-674076848.09903562</v>
      </c>
      <c r="BF64" s="18">
        <f t="shared" si="57"/>
        <v>-650037284.19367874</v>
      </c>
      <c r="BG64" s="18">
        <f t="shared" si="58"/>
        <v>-625951734.27654219</v>
      </c>
      <c r="BH64" s="18">
        <f t="shared" si="59"/>
        <v>-601822012.22967553</v>
      </c>
      <c r="BI64" s="18">
        <f t="shared" si="60"/>
        <v>-577650415.87697518</v>
      </c>
      <c r="BJ64" s="18">
        <f t="shared" si="61"/>
        <v>-553439701.8058933</v>
      </c>
      <c r="BK64" s="18">
        <f t="shared" si="62"/>
        <v>-529193055.1637134</v>
      </c>
      <c r="BL64" s="18">
        <f t="shared" si="63"/>
        <v>-504914054.75940222</v>
      </c>
      <c r="BM64" s="18">
        <f t="shared" si="64"/>
        <v>-480606633.85342985</v>
      </c>
      <c r="BN64" s="18">
        <f t="shared" si="65"/>
        <v>-456275037.06515342</v>
      </c>
      <c r="BO64" s="18">
        <f t="shared" si="66"/>
        <v>-431923773.86985308</v>
      </c>
      <c r="BP64" s="18">
        <f t="shared" si="67"/>
        <v>-407557569.19483012</v>
      </c>
      <c r="BQ64" s="18">
        <f t="shared" si="68"/>
        <v>-383181311.65572011</v>
      </c>
      <c r="BR64" s="17">
        <f t="shared" si="69"/>
        <v>-358800000</v>
      </c>
      <c r="BT64" s="33"/>
      <c r="BU64" s="21">
        <v>1.6666666666666666E-2</v>
      </c>
      <c r="BV64" s="17">
        <v>0</v>
      </c>
      <c r="BW64" s="19">
        <f t="shared" ref="BW64:CY64" si="129">$B$20/($B$21-$B$22*BV64)</f>
        <v>0.34883720930232553</v>
      </c>
      <c r="BX64" s="19">
        <f t="shared" si="129"/>
        <v>0.39716748768472904</v>
      </c>
      <c r="BY64" s="19">
        <f t="shared" si="129"/>
        <v>0.40494040593779607</v>
      </c>
      <c r="BZ64" s="19">
        <f t="shared" si="129"/>
        <v>0.4062190081621499</v>
      </c>
      <c r="CA64" s="19">
        <f t="shared" si="129"/>
        <v>0.40643010492156101</v>
      </c>
      <c r="CB64" s="19">
        <f t="shared" si="129"/>
        <v>0.40646497802255066</v>
      </c>
      <c r="CC64" s="19">
        <f t="shared" si="129"/>
        <v>0.40647073962099717</v>
      </c>
      <c r="CD64" s="19">
        <f t="shared" si="129"/>
        <v>0.40647169154566137</v>
      </c>
      <c r="CE64" s="19">
        <f t="shared" si="129"/>
        <v>0.40647184882198806</v>
      </c>
      <c r="CF64" s="19">
        <f t="shared" si="129"/>
        <v>0.40647187480708435</v>
      </c>
      <c r="CG64" s="19">
        <f t="shared" si="129"/>
        <v>0.40647187910032606</v>
      </c>
      <c r="CH64" s="19">
        <f t="shared" si="129"/>
        <v>0.40647187980965277</v>
      </c>
      <c r="CI64" s="19">
        <f t="shared" si="129"/>
        <v>0.4064718799268473</v>
      </c>
      <c r="CJ64" s="19">
        <f t="shared" si="129"/>
        <v>0.40647187994621015</v>
      </c>
      <c r="CK64" s="19">
        <f t="shared" si="129"/>
        <v>0.40647187994940925</v>
      </c>
      <c r="CL64" s="19">
        <f t="shared" si="129"/>
        <v>0.40647187994993778</v>
      </c>
      <c r="CM64" s="19">
        <f t="shared" si="129"/>
        <v>0.40647187995002515</v>
      </c>
      <c r="CN64" s="19">
        <f t="shared" si="129"/>
        <v>0.40647187995003953</v>
      </c>
      <c r="CO64" s="19">
        <f t="shared" si="129"/>
        <v>0.40647187995004191</v>
      </c>
      <c r="CP64" s="19">
        <f t="shared" si="129"/>
        <v>0.40647187995004236</v>
      </c>
      <c r="CQ64" s="19">
        <f t="shared" si="129"/>
        <v>0.40647187995004236</v>
      </c>
      <c r="CR64" s="19">
        <f t="shared" si="129"/>
        <v>0.40647187995004236</v>
      </c>
      <c r="CS64" s="19">
        <f t="shared" si="129"/>
        <v>0.40647187995004236</v>
      </c>
      <c r="CT64" s="19">
        <f t="shared" si="129"/>
        <v>0.40647187995004236</v>
      </c>
      <c r="CU64" s="19">
        <f t="shared" si="129"/>
        <v>0.40647187995004236</v>
      </c>
      <c r="CV64" s="19">
        <f t="shared" si="129"/>
        <v>0.40647187995004236</v>
      </c>
      <c r="CW64" s="19">
        <f t="shared" si="129"/>
        <v>0.40647187995004236</v>
      </c>
      <c r="CX64" s="19">
        <f t="shared" si="129"/>
        <v>0.40647187995004236</v>
      </c>
      <c r="CY64" s="17">
        <f t="shared" si="129"/>
        <v>0.40647187995004236</v>
      </c>
      <c r="CZ64" s="12">
        <f t="shared" si="71"/>
        <v>100</v>
      </c>
      <c r="DB64" s="33"/>
      <c r="DC64" s="21">
        <v>1.6666666666666666E-2</v>
      </c>
      <c r="DD64" s="17">
        <f t="shared" si="72"/>
        <v>300</v>
      </c>
      <c r="DE64" s="19">
        <f t="shared" si="73"/>
        <v>193.37220411186161</v>
      </c>
      <c r="DF64" s="19">
        <f t="shared" si="74"/>
        <v>175.56323583446871</v>
      </c>
      <c r="DG64" s="19">
        <f t="shared" si="75"/>
        <v>169.49158138902624</v>
      </c>
      <c r="DH64" s="19">
        <f t="shared" si="76"/>
        <v>165.25560393218996</v>
      </c>
      <c r="DI64" s="19">
        <f t="shared" si="77"/>
        <v>161.31199694608821</v>
      </c>
      <c r="DJ64" s="19">
        <f t="shared" si="78"/>
        <v>157.41247286045194</v>
      </c>
      <c r="DK64" s="19">
        <f t="shared" si="79"/>
        <v>153.51641139827754</v>
      </c>
      <c r="DL64" s="19">
        <f t="shared" si="80"/>
        <v>149.61669980236417</v>
      </c>
      <c r="DM64" s="19">
        <f t="shared" si="81"/>
        <v>145.711673331924</v>
      </c>
      <c r="DN64" s="19">
        <f t="shared" si="82"/>
        <v>141.80059691563252</v>
      </c>
      <c r="DO64" s="19">
        <f t="shared" si="83"/>
        <v>137.88294210034633</v>
      </c>
      <c r="DP64" s="19">
        <f t="shared" si="84"/>
        <v>133.95827509250577</v>
      </c>
      <c r="DQ64" s="19">
        <f t="shared" si="85"/>
        <v>130.02624255980416</v>
      </c>
      <c r="DR64" s="19">
        <f t="shared" si="86"/>
        <v>126.08657245417125</v>
      </c>
      <c r="DS64" s="19">
        <f t="shared" si="87"/>
        <v>122.13907650202306</v>
      </c>
      <c r="DT64" s="19">
        <f t="shared" si="88"/>
        <v>118.18365218768898</v>
      </c>
      <c r="DU64" s="19">
        <f t="shared" si="89"/>
        <v>114.2202838632209</v>
      </c>
      <c r="DV64" s="19">
        <f t="shared" si="90"/>
        <v>110.24904291703103</v>
      </c>
      <c r="DW64" s="19">
        <f t="shared" si="91"/>
        <v>106.27008699065075</v>
      </c>
      <c r="DX64" s="19">
        <f t="shared" si="92"/>
        <v>102.28365825079887</v>
      </c>
      <c r="DY64" s="19">
        <f t="shared" si="93"/>
        <v>98.290080735494982</v>
      </c>
      <c r="DZ64" s="19">
        <f t="shared" si="94"/>
        <v>94.28975680328611</v>
      </c>
      <c r="EA64" s="19">
        <f t="shared" si="95"/>
        <v>90.283162724506781</v>
      </c>
      <c r="EB64" s="19">
        <f t="shared" si="96"/>
        <v>86.270843462894092</v>
      </c>
      <c r="EC64" s="19">
        <f t="shared" si="97"/>
        <v>82.253406704742105</v>
      </c>
      <c r="ED64" s="19">
        <f t="shared" si="98"/>
        <v>78.231516201018366</v>
      </c>
      <c r="EE64" s="19">
        <f t="shared" si="99"/>
        <v>74.205884495385646</v>
      </c>
      <c r="EF64" s="19">
        <f t="shared" si="100"/>
        <v>70.177265117792231</v>
      </c>
      <c r="EG64" s="19">
        <f t="shared" si="101"/>
        <v>66.146444329143776</v>
      </c>
      <c r="EH64" s="17">
        <f t="shared" si="102"/>
        <v>62.114232507481582</v>
      </c>
    </row>
    <row r="65" spans="5:138" x14ac:dyDescent="0.25">
      <c r="E65" s="35"/>
      <c r="F65" s="21">
        <v>1.3333333333333334E-2</v>
      </c>
      <c r="G65" s="14">
        <f t="shared" si="10"/>
        <v>300</v>
      </c>
      <c r="H65" s="15">
        <f t="shared" si="11"/>
        <v>293.46028317324021</v>
      </c>
      <c r="I65" s="15">
        <f t="shared" si="12"/>
        <v>286.91917542823359</v>
      </c>
      <c r="J65" s="15">
        <f t="shared" si="13"/>
        <v>280.3753010872021</v>
      </c>
      <c r="K65" s="15">
        <f t="shared" si="14"/>
        <v>273.82731478627261</v>
      </c>
      <c r="L65" s="15">
        <f t="shared" si="15"/>
        <v>267.27391621667726</v>
      </c>
      <c r="M65" s="15">
        <f t="shared" si="16"/>
        <v>260.71386437216307</v>
      </c>
      <c r="N65" s="15">
        <f t="shared" si="17"/>
        <v>254.14599114647154</v>
      </c>
      <c r="O65" s="15">
        <f t="shared" si="18"/>
        <v>247.5692141318778</v>
      </c>
      <c r="P65" s="15">
        <f t="shared" si="19"/>
        <v>240.98254847854315</v>
      </c>
      <c r="Q65" s="15">
        <f t="shared" si="20"/>
        <v>234.38511768473597</v>
      </c>
      <c r="R65" s="15">
        <f t="shared" si="21"/>
        <v>227.77616319970127</v>
      </c>
      <c r="S65" s="15">
        <f t="shared" si="22"/>
        <v>221.15505273397844</v>
      </c>
      <c r="T65" s="15">
        <f t="shared" si="23"/>
        <v>214.52128718614227</v>
      </c>
      <c r="U65" s="15">
        <f t="shared" si="24"/>
        <v>207.87450611010749</v>
      </c>
      <c r="V65" s="15">
        <f t="shared" si="25"/>
        <v>201.21449166313894</v>
      </c>
      <c r="W65" s="15">
        <f t="shared" si="26"/>
        <v>194.54117099136045</v>
      </c>
      <c r="X65" s="15">
        <f t="shared" si="27"/>
        <v>187.85461702667936</v>
      </c>
      <c r="Y65" s="15">
        <f t="shared" si="28"/>
        <v>181.15504768645155</v>
      </c>
      <c r="Z65" s="15">
        <f t="shared" si="29"/>
        <v>174.44282348471154</v>
      </c>
      <c r="AA65" s="15">
        <f t="shared" si="30"/>
        <v>167.71844358119242</v>
      </c>
      <c r="AB65" s="15">
        <f t="shared" si="31"/>
        <v>160.98254031147286</v>
      </c>
      <c r="AC65" s="15">
        <f t="shared" si="32"/>
        <v>154.23587225822101</v>
      </c>
      <c r="AD65" s="15">
        <f t="shared" si="33"/>
        <v>147.47931593948135</v>
      </c>
      <c r="AE65" s="15">
        <f t="shared" si="34"/>
        <v>140.71385620509261</v>
      </c>
      <c r="AF65" s="15">
        <f t="shared" si="35"/>
        <v>133.94057544646674</v>
      </c>
      <c r="AG65" s="15">
        <f t="shared" si="36"/>
        <v>127.16064173794928</v>
      </c>
      <c r="AH65" s="15">
        <f t="shared" si="37"/>
        <v>120.37529603967494</v>
      </c>
      <c r="AI65" s="15">
        <f t="shared" si="120"/>
        <v>113.58583860210372</v>
      </c>
      <c r="AJ65" s="15">
        <f t="shared" si="103"/>
        <v>106.79361472115974</v>
      </c>
      <c r="AK65" s="14">
        <f t="shared" si="39"/>
        <v>100</v>
      </c>
      <c r="AL65" s="33"/>
      <c r="AM65" s="13">
        <v>1.3333333333333334E-2</v>
      </c>
      <c r="AN65" s="17">
        <f t="shared" si="40"/>
        <v>-1076400000</v>
      </c>
      <c r="AO65" s="18">
        <f t="shared" si="104"/>
        <v>-1052941254.4271283</v>
      </c>
      <c r="AP65" s="18">
        <f t="shared" si="41"/>
        <v>-1029477455.1440446</v>
      </c>
      <c r="AQ65" s="18">
        <f t="shared" si="42"/>
        <v>-1006003603.8148587</v>
      </c>
      <c r="AR65" s="18">
        <f t="shared" si="43"/>
        <v>-982514812.24542308</v>
      </c>
      <c r="AS65" s="18">
        <f t="shared" si="44"/>
        <v>-959006355.94360197</v>
      </c>
      <c r="AT65" s="18">
        <f t="shared" si="45"/>
        <v>-935473725.88539517</v>
      </c>
      <c r="AU65" s="18">
        <f t="shared" si="46"/>
        <v>-911912677.919595</v>
      </c>
      <c r="AV65" s="18">
        <f t="shared" si="47"/>
        <v>-888319279.26956499</v>
      </c>
      <c r="AW65" s="18">
        <f t="shared" si="48"/>
        <v>-864689951.62256885</v>
      </c>
      <c r="AX65" s="18">
        <f t="shared" si="49"/>
        <v>-841021510.33451509</v>
      </c>
      <c r="AY65" s="18">
        <f t="shared" si="50"/>
        <v>-817311199.32057691</v>
      </c>
      <c r="AZ65" s="18">
        <f t="shared" si="51"/>
        <v>-793556721.24946415</v>
      </c>
      <c r="BA65" s="18">
        <f t="shared" si="52"/>
        <v>-769756262.71062112</v>
      </c>
      <c r="BB65" s="18">
        <f t="shared" si="53"/>
        <v>-745908514.07873142</v>
      </c>
      <c r="BC65" s="18">
        <f t="shared" si="54"/>
        <v>-722012683.85805559</v>
      </c>
      <c r="BD65" s="18">
        <f t="shared" si="55"/>
        <v>-698068507.34961808</v>
      </c>
      <c r="BE65" s="18">
        <f t="shared" si="56"/>
        <v>-674076249.54648912</v>
      </c>
      <c r="BF65" s="18">
        <f t="shared" si="57"/>
        <v>-650036702.22564912</v>
      </c>
      <c r="BG65" s="18">
        <f t="shared" si="58"/>
        <v>-625951175.26851058</v>
      </c>
      <c r="BH65" s="18">
        <f t="shared" si="59"/>
        <v>-601821482.30538821</v>
      </c>
      <c r="BI65" s="18">
        <f t="shared" si="60"/>
        <v>-577649920.84138858</v>
      </c>
      <c r="BJ65" s="18">
        <f t="shared" si="61"/>
        <v>-553439247.08161664</v>
      </c>
      <c r="BK65" s="18">
        <f t="shared" si="62"/>
        <v>-529192645.73164648</v>
      </c>
      <c r="BL65" s="18">
        <f t="shared" si="63"/>
        <v>-504913695.10421419</v>
      </c>
      <c r="BM65" s="18">
        <f t="shared" si="64"/>
        <v>-480606327.91447401</v>
      </c>
      <c r="BN65" s="18">
        <f t="shared" si="65"/>
        <v>-456274788.19335586</v>
      </c>
      <c r="BO65" s="18">
        <f t="shared" si="66"/>
        <v>-431923584.79104275</v>
      </c>
      <c r="BP65" s="18">
        <f t="shared" si="67"/>
        <v>-407557441.97991157</v>
      </c>
      <c r="BQ65" s="18">
        <f t="shared" si="68"/>
        <v>-383181247.6980145</v>
      </c>
      <c r="BR65" s="17">
        <f t="shared" si="69"/>
        <v>-358800000</v>
      </c>
      <c r="BT65" s="33"/>
      <c r="BU65" s="21">
        <v>1.3333333333333334E-2</v>
      </c>
      <c r="BV65" s="17">
        <v>0</v>
      </c>
      <c r="BW65" s="19">
        <f t="shared" ref="BW65:CY65" si="130">$B$20/($B$21-$B$22*BV65)</f>
        <v>0.34883720930232553</v>
      </c>
      <c r="BX65" s="19">
        <f t="shared" si="130"/>
        <v>0.39716748768472904</v>
      </c>
      <c r="BY65" s="19">
        <f t="shared" si="130"/>
        <v>0.40494040593779607</v>
      </c>
      <c r="BZ65" s="19">
        <f t="shared" si="130"/>
        <v>0.4062190081621499</v>
      </c>
      <c r="CA65" s="19">
        <f t="shared" si="130"/>
        <v>0.40643010492156101</v>
      </c>
      <c r="CB65" s="19">
        <f t="shared" si="130"/>
        <v>0.40646497802255066</v>
      </c>
      <c r="CC65" s="19">
        <f t="shared" si="130"/>
        <v>0.40647073962099717</v>
      </c>
      <c r="CD65" s="19">
        <f t="shared" si="130"/>
        <v>0.40647169154566137</v>
      </c>
      <c r="CE65" s="19">
        <f t="shared" si="130"/>
        <v>0.40647184882198806</v>
      </c>
      <c r="CF65" s="19">
        <f t="shared" si="130"/>
        <v>0.40647187480708435</v>
      </c>
      <c r="CG65" s="19">
        <f t="shared" si="130"/>
        <v>0.40647187910032606</v>
      </c>
      <c r="CH65" s="19">
        <f t="shared" si="130"/>
        <v>0.40647187980965277</v>
      </c>
      <c r="CI65" s="19">
        <f t="shared" si="130"/>
        <v>0.4064718799268473</v>
      </c>
      <c r="CJ65" s="19">
        <f t="shared" si="130"/>
        <v>0.40647187994621015</v>
      </c>
      <c r="CK65" s="19">
        <f t="shared" si="130"/>
        <v>0.40647187994940925</v>
      </c>
      <c r="CL65" s="19">
        <f t="shared" si="130"/>
        <v>0.40647187994993778</v>
      </c>
      <c r="CM65" s="19">
        <f t="shared" si="130"/>
        <v>0.40647187995002515</v>
      </c>
      <c r="CN65" s="19">
        <f t="shared" si="130"/>
        <v>0.40647187995003953</v>
      </c>
      <c r="CO65" s="19">
        <f t="shared" si="130"/>
        <v>0.40647187995004191</v>
      </c>
      <c r="CP65" s="19">
        <f t="shared" si="130"/>
        <v>0.40647187995004236</v>
      </c>
      <c r="CQ65" s="19">
        <f t="shared" si="130"/>
        <v>0.40647187995004236</v>
      </c>
      <c r="CR65" s="19">
        <f t="shared" si="130"/>
        <v>0.40647187995004236</v>
      </c>
      <c r="CS65" s="19">
        <f t="shared" si="130"/>
        <v>0.40647187995004236</v>
      </c>
      <c r="CT65" s="19">
        <f t="shared" si="130"/>
        <v>0.40647187995004236</v>
      </c>
      <c r="CU65" s="19">
        <f t="shared" si="130"/>
        <v>0.40647187995004236</v>
      </c>
      <c r="CV65" s="19">
        <f t="shared" si="130"/>
        <v>0.40647187995004236</v>
      </c>
      <c r="CW65" s="19">
        <f t="shared" si="130"/>
        <v>0.40647187995004236</v>
      </c>
      <c r="CX65" s="19">
        <f t="shared" si="130"/>
        <v>0.40647187995004236</v>
      </c>
      <c r="CY65" s="17">
        <f t="shared" si="130"/>
        <v>0.40647187995004236</v>
      </c>
      <c r="CZ65" s="12">
        <f t="shared" si="71"/>
        <v>100</v>
      </c>
      <c r="DB65" s="33"/>
      <c r="DC65" s="21">
        <v>1.3333333333333334E-2</v>
      </c>
      <c r="DD65" s="17">
        <f t="shared" si="72"/>
        <v>300</v>
      </c>
      <c r="DE65" s="19">
        <f t="shared" si="73"/>
        <v>193.37219872153085</v>
      </c>
      <c r="DF65" s="19">
        <f t="shared" si="74"/>
        <v>175.56322148658003</v>
      </c>
      <c r="DG65" s="19">
        <f t="shared" si="75"/>
        <v>169.49155708079221</v>
      </c>
      <c r="DH65" s="19">
        <f t="shared" si="76"/>
        <v>165.25556963312044</v>
      </c>
      <c r="DI65" s="19">
        <f t="shared" si="77"/>
        <v>161.3119529653934</v>
      </c>
      <c r="DJ65" s="19">
        <f t="shared" si="78"/>
        <v>157.41241966629318</v>
      </c>
      <c r="DK65" s="19">
        <f t="shared" si="79"/>
        <v>153.51634957089817</v>
      </c>
      <c r="DL65" s="19">
        <f t="shared" si="80"/>
        <v>149.61663001882002</v>
      </c>
      <c r="DM65" s="19">
        <f t="shared" si="81"/>
        <v>145.71159635686925</v>
      </c>
      <c r="DN65" s="19">
        <f t="shared" si="82"/>
        <v>141.800513592589</v>
      </c>
      <c r="DO65" s="19">
        <f t="shared" si="83"/>
        <v>137.88285334238935</v>
      </c>
      <c r="DP65" s="19">
        <f t="shared" si="84"/>
        <v>133.95818187224083</v>
      </c>
      <c r="DQ65" s="19">
        <f t="shared" si="85"/>
        <v>130.026145898702</v>
      </c>
      <c r="DR65" s="19">
        <f t="shared" si="86"/>
        <v>126.08647341137038</v>
      </c>
      <c r="DS65" s="19">
        <f t="shared" si="87"/>
        <v>122.13897616272118</v>
      </c>
      <c r="DT65" s="19">
        <f t="shared" si="88"/>
        <v>118.18355165125048</v>
      </c>
      <c r="DU65" s="19">
        <f t="shared" si="89"/>
        <v>114.22018423113096</v>
      </c>
      <c r="DV65" s="19">
        <f t="shared" si="90"/>
        <v>110.24894528082797</v>
      </c>
      <c r="DW65" s="19">
        <f t="shared" si="91"/>
        <v>106.26999241996921</v>
      </c>
      <c r="DX65" s="19">
        <f t="shared" si="92"/>
        <v>102.28356778165457</v>
      </c>
      <c r="DY65" s="19">
        <f t="shared" si="93"/>
        <v>98.289995358939194</v>
      </c>
      <c r="DZ65" s="19">
        <f t="shared" si="94"/>
        <v>94.289677454553768</v>
      </c>
      <c r="EA65" s="19">
        <f t="shared" si="95"/>
        <v>90.283090272777429</v>
      </c>
      <c r="EB65" s="19">
        <f t="shared" si="96"/>
        <v>86.270778701776791</v>
      </c>
      <c r="EC65" s="19">
        <f t="shared" si="97"/>
        <v>82.253350343588664</v>
      </c>
      <c r="ED65" s="19">
        <f t="shared" si="98"/>
        <v>78.231468857159726</v>
      </c>
      <c r="EE65" s="19">
        <f t="shared" si="99"/>
        <v>74.20584668737574</v>
      </c>
      <c r="EF65" s="19">
        <f t="shared" si="100"/>
        <v>70.177237259733403</v>
      </c>
      <c r="EG65" s="19">
        <f t="shared" si="101"/>
        <v>66.146426726155497</v>
      </c>
      <c r="EH65" s="17">
        <f t="shared" si="102"/>
        <v>62.114225352361828</v>
      </c>
    </row>
    <row r="66" spans="5:138" x14ac:dyDescent="0.25">
      <c r="E66" s="35"/>
      <c r="F66" s="21">
        <v>0.01</v>
      </c>
      <c r="G66" s="14">
        <f t="shared" si="10"/>
        <v>300</v>
      </c>
      <c r="H66" s="15">
        <f t="shared" si="11"/>
        <v>293.46026978423316</v>
      </c>
      <c r="I66" s="15">
        <f t="shared" si="12"/>
        <v>286.91914879696094</v>
      </c>
      <c r="J66" s="15">
        <f t="shared" si="13"/>
        <v>280.37526150553697</v>
      </c>
      <c r="K66" s="15">
        <f t="shared" si="14"/>
        <v>273.82726268801764</v>
      </c>
      <c r="L66" s="15">
        <f t="shared" si="15"/>
        <v>267.27385217280585</v>
      </c>
      <c r="M66" s="15">
        <f t="shared" si="16"/>
        <v>260.7137890845562</v>
      </c>
      <c r="N66" s="15">
        <f t="shared" si="17"/>
        <v>254.14590544021868</v>
      </c>
      <c r="O66" s="15">
        <f t="shared" si="18"/>
        <v>247.56911894622749</v>
      </c>
      <c r="P66" s="15">
        <f t="shared" si="19"/>
        <v>240.98244485660229</v>
      </c>
      <c r="Q66" s="15">
        <f t="shared" si="20"/>
        <v>234.38500676203097</v>
      </c>
      <c r="R66" s="15">
        <f t="shared" si="21"/>
        <v>227.77604619172729</v>
      </c>
      <c r="S66" s="15">
        <f t="shared" si="22"/>
        <v>221.15493092287335</v>
      </c>
      <c r="T66" s="15">
        <f t="shared" si="23"/>
        <v>214.52116190663173</v>
      </c>
      <c r="U66" s="15">
        <f t="shared" si="24"/>
        <v>207.87437873487525</v>
      </c>
      <c r="V66" s="15">
        <f t="shared" si="25"/>
        <v>201.21436358778345</v>
      </c>
      <c r="W66" s="15">
        <f t="shared" si="26"/>
        <v>194.54104361910208</v>
      </c>
      <c r="X66" s="15">
        <f t="shared" si="27"/>
        <v>187.85449175298658</v>
      </c>
      <c r="Y66" s="15">
        <f t="shared" si="28"/>
        <v>181.15492588375383</v>
      </c>
      <c r="Z66" s="15">
        <f t="shared" si="29"/>
        <v>174.44270648736708</v>
      </c>
      <c r="AA66" s="15">
        <f t="shared" si="30"/>
        <v>167.71833267087456</v>
      </c>
      <c r="AB66" s="15">
        <f t="shared" si="31"/>
        <v>160.98243670313539</v>
      </c>
      <c r="AC66" s="15">
        <f t="shared" si="32"/>
        <v>154.23577708679585</v>
      </c>
      <c r="AD66" s="15">
        <f t="shared" si="33"/>
        <v>147.47923024745364</v>
      </c>
      <c r="AE66" s="15">
        <f t="shared" si="34"/>
        <v>140.71378093108922</v>
      </c>
      <c r="AF66" s="15">
        <f t="shared" si="35"/>
        <v>133.94051141498261</v>
      </c>
      <c r="AG66" s="15">
        <f t="shared" si="36"/>
        <v>127.16058965032391</v>
      </c>
      <c r="AH66" s="15">
        <f t="shared" si="37"/>
        <v>120.3752564664172</v>
      </c>
      <c r="AI66" s="15">
        <f t="shared" si="120"/>
        <v>113.58581197664887</v>
      </c>
      <c r="AJ66" s="15">
        <f t="shared" si="103"/>
        <v>106.79360133512657</v>
      </c>
      <c r="AK66" s="14">
        <f t="shared" si="39"/>
        <v>100</v>
      </c>
      <c r="AL66" s="33"/>
      <c r="AM66" s="13">
        <v>0.01</v>
      </c>
      <c r="AN66" s="17">
        <f t="shared" si="40"/>
        <v>-1076400000</v>
      </c>
      <c r="AO66" s="18">
        <f t="shared" si="104"/>
        <v>-1052941205.7798612</v>
      </c>
      <c r="AP66" s="18">
        <f t="shared" si="41"/>
        <v>-1029477358.3826839</v>
      </c>
      <c r="AQ66" s="18">
        <f t="shared" si="42"/>
        <v>-1006003459.9999012</v>
      </c>
      <c r="AR66" s="18">
        <f t="shared" si="43"/>
        <v>-982514622.95305431</v>
      </c>
      <c r="AS66" s="18">
        <f t="shared" si="44"/>
        <v>-959006123.2484045</v>
      </c>
      <c r="AT66" s="18">
        <f t="shared" si="45"/>
        <v>-935473452.33759093</v>
      </c>
      <c r="AU66" s="18">
        <f t="shared" si="46"/>
        <v>-911912366.51707065</v>
      </c>
      <c r="AV66" s="18">
        <f t="shared" si="47"/>
        <v>-888318933.42498934</v>
      </c>
      <c r="AW66" s="18">
        <f t="shared" si="48"/>
        <v>-864689575.1259656</v>
      </c>
      <c r="AX66" s="18">
        <f t="shared" si="49"/>
        <v>-841021107.31169927</v>
      </c>
      <c r="AY66" s="18">
        <f t="shared" si="50"/>
        <v>-817310774.18791509</v>
      </c>
      <c r="AZ66" s="18">
        <f t="shared" si="51"/>
        <v>-793556278.66545498</v>
      </c>
      <c r="BA66" s="18">
        <f t="shared" si="52"/>
        <v>-769755807.52482617</v>
      </c>
      <c r="BB66" s="18">
        <f t="shared" si="53"/>
        <v>-745908051.27862084</v>
      </c>
      <c r="BC66" s="18">
        <f t="shared" si="54"/>
        <v>-722012218.51434755</v>
      </c>
      <c r="BD66" s="18">
        <f t="shared" si="55"/>
        <v>-698068044.56071579</v>
      </c>
      <c r="BE66" s="18">
        <f t="shared" si="56"/>
        <v>-674075794.38262105</v>
      </c>
      <c r="BF66" s="18">
        <f t="shared" si="57"/>
        <v>-650036259.67332685</v>
      </c>
      <c r="BG66" s="18">
        <f t="shared" si="58"/>
        <v>-625950750.17591095</v>
      </c>
      <c r="BH66" s="18">
        <f t="shared" si="59"/>
        <v>-601821079.32925892</v>
      </c>
      <c r="BI66" s="18">
        <f t="shared" si="60"/>
        <v>-577649544.3960557</v>
      </c>
      <c r="BJ66" s="18">
        <f t="shared" si="61"/>
        <v>-553438901.29065478</v>
      </c>
      <c r="BK66" s="18">
        <f t="shared" si="62"/>
        <v>-529192334.38273591</v>
      </c>
      <c r="BL66" s="18">
        <f t="shared" si="63"/>
        <v>-504913421.60768068</v>
      </c>
      <c r="BM66" s="18">
        <f t="shared" si="64"/>
        <v>-480606095.26596332</v>
      </c>
      <c r="BN66" s="18">
        <f t="shared" si="65"/>
        <v>-456274598.94104922</v>
      </c>
      <c r="BO66" s="18">
        <f t="shared" si="66"/>
        <v>-431923441.00777215</v>
      </c>
      <c r="BP66" s="18">
        <f t="shared" si="67"/>
        <v>-407557345.2404778</v>
      </c>
      <c r="BQ66" s="18">
        <f t="shared" si="68"/>
        <v>-383181199.06195593</v>
      </c>
      <c r="BR66" s="17">
        <f t="shared" si="69"/>
        <v>-358800000</v>
      </c>
      <c r="BT66" s="33"/>
      <c r="BU66" s="21">
        <v>0.01</v>
      </c>
      <c r="BV66" s="17">
        <v>0</v>
      </c>
      <c r="BW66" s="19">
        <f t="shared" ref="BW66:CY66" si="131">$B$20/($B$21-$B$22*BV66)</f>
        <v>0.34883720930232553</v>
      </c>
      <c r="BX66" s="19">
        <f t="shared" si="131"/>
        <v>0.39716748768472904</v>
      </c>
      <c r="BY66" s="19">
        <f t="shared" si="131"/>
        <v>0.40494040593779607</v>
      </c>
      <c r="BZ66" s="19">
        <f t="shared" si="131"/>
        <v>0.4062190081621499</v>
      </c>
      <c r="CA66" s="19">
        <f t="shared" si="131"/>
        <v>0.40643010492156101</v>
      </c>
      <c r="CB66" s="19">
        <f t="shared" si="131"/>
        <v>0.40646497802255066</v>
      </c>
      <c r="CC66" s="19">
        <f t="shared" si="131"/>
        <v>0.40647073962099717</v>
      </c>
      <c r="CD66" s="19">
        <f t="shared" si="131"/>
        <v>0.40647169154566137</v>
      </c>
      <c r="CE66" s="19">
        <f t="shared" si="131"/>
        <v>0.40647184882198806</v>
      </c>
      <c r="CF66" s="19">
        <f t="shared" si="131"/>
        <v>0.40647187480708435</v>
      </c>
      <c r="CG66" s="19">
        <f t="shared" si="131"/>
        <v>0.40647187910032606</v>
      </c>
      <c r="CH66" s="19">
        <f t="shared" si="131"/>
        <v>0.40647187980965277</v>
      </c>
      <c r="CI66" s="19">
        <f t="shared" si="131"/>
        <v>0.4064718799268473</v>
      </c>
      <c r="CJ66" s="19">
        <f t="shared" si="131"/>
        <v>0.40647187994621015</v>
      </c>
      <c r="CK66" s="19">
        <f t="shared" si="131"/>
        <v>0.40647187994940925</v>
      </c>
      <c r="CL66" s="19">
        <f t="shared" si="131"/>
        <v>0.40647187994993778</v>
      </c>
      <c r="CM66" s="19">
        <f t="shared" si="131"/>
        <v>0.40647187995002515</v>
      </c>
      <c r="CN66" s="19">
        <f t="shared" si="131"/>
        <v>0.40647187995003953</v>
      </c>
      <c r="CO66" s="19">
        <f t="shared" si="131"/>
        <v>0.40647187995004191</v>
      </c>
      <c r="CP66" s="19">
        <f t="shared" si="131"/>
        <v>0.40647187995004236</v>
      </c>
      <c r="CQ66" s="19">
        <f t="shared" si="131"/>
        <v>0.40647187995004236</v>
      </c>
      <c r="CR66" s="19">
        <f t="shared" si="131"/>
        <v>0.40647187995004236</v>
      </c>
      <c r="CS66" s="19">
        <f t="shared" si="131"/>
        <v>0.40647187995004236</v>
      </c>
      <c r="CT66" s="19">
        <f t="shared" si="131"/>
        <v>0.40647187995004236</v>
      </c>
      <c r="CU66" s="19">
        <f t="shared" si="131"/>
        <v>0.40647187995004236</v>
      </c>
      <c r="CV66" s="19">
        <f t="shared" si="131"/>
        <v>0.40647187995004236</v>
      </c>
      <c r="CW66" s="19">
        <f t="shared" si="131"/>
        <v>0.40647187995004236</v>
      </c>
      <c r="CX66" s="19">
        <f t="shared" si="131"/>
        <v>0.40647187995004236</v>
      </c>
      <c r="CY66" s="17">
        <f t="shared" si="131"/>
        <v>0.40647187995004236</v>
      </c>
      <c r="CZ66" s="12">
        <f t="shared" si="71"/>
        <v>100</v>
      </c>
      <c r="DB66" s="33"/>
      <c r="DC66" s="21">
        <v>0.01</v>
      </c>
      <c r="DD66" s="17">
        <f t="shared" si="72"/>
        <v>300</v>
      </c>
      <c r="DE66" s="19">
        <f t="shared" si="73"/>
        <v>193.37219462250263</v>
      </c>
      <c r="DF66" s="19">
        <f t="shared" si="74"/>
        <v>175.56321057585788</v>
      </c>
      <c r="DG66" s="19">
        <f t="shared" si="75"/>
        <v>169.49153859581557</v>
      </c>
      <c r="DH66" s="19">
        <f t="shared" si="76"/>
        <v>165.25554355070338</v>
      </c>
      <c r="DI66" s="19">
        <f t="shared" si="77"/>
        <v>161.31191952067198</v>
      </c>
      <c r="DJ66" s="19">
        <f t="shared" si="78"/>
        <v>157.41237921527645</v>
      </c>
      <c r="DK66" s="19">
        <f t="shared" si="79"/>
        <v>153.51630255482698</v>
      </c>
      <c r="DL66" s="19">
        <f t="shared" si="80"/>
        <v>149.61657695255531</v>
      </c>
      <c r="DM66" s="19">
        <f t="shared" si="81"/>
        <v>145.71153782188537</v>
      </c>
      <c r="DN66" s="19">
        <f t="shared" si="82"/>
        <v>141.80045023033455</v>
      </c>
      <c r="DO66" s="19">
        <f t="shared" si="83"/>
        <v>137.88278584720413</v>
      </c>
      <c r="DP66" s="19">
        <f t="shared" si="84"/>
        <v>133.95811098373386</v>
      </c>
      <c r="DQ66" s="19">
        <f t="shared" si="85"/>
        <v>130.02607239364153</v>
      </c>
      <c r="DR66" s="19">
        <f t="shared" si="86"/>
        <v>126.08639809516866</v>
      </c>
      <c r="DS66" s="19">
        <f t="shared" si="87"/>
        <v>122.13889986060698</v>
      </c>
      <c r="DT66" s="19">
        <f t="shared" si="88"/>
        <v>118.18347519922554</v>
      </c>
      <c r="DU66" s="19">
        <f t="shared" si="89"/>
        <v>114.22010846680966</v>
      </c>
      <c r="DV66" s="19">
        <f t="shared" si="90"/>
        <v>110.2488710342608</v>
      </c>
      <c r="DW66" s="19">
        <f t="shared" si="91"/>
        <v>106.26992050455016</v>
      </c>
      <c r="DX66" s="19">
        <f t="shared" si="92"/>
        <v>102.28349898521242</v>
      </c>
      <c r="DY66" s="19">
        <f t="shared" si="93"/>
        <v>98.289930435109824</v>
      </c>
      <c r="DZ66" s="19">
        <f t="shared" si="94"/>
        <v>94.289617114528227</v>
      </c>
      <c r="EA66" s="19">
        <f t="shared" si="95"/>
        <v>90.283035177515401</v>
      </c>
      <c r="EB66" s="19">
        <f t="shared" si="96"/>
        <v>86.270729454771114</v>
      </c>
      <c r="EC66" s="19">
        <f t="shared" si="97"/>
        <v>82.253307484259537</v>
      </c>
      <c r="ED66" s="19">
        <f t="shared" si="98"/>
        <v>78.231432854950825</v>
      </c>
      <c r="EE66" s="19">
        <f t="shared" si="99"/>
        <v>74.205817936616697</v>
      </c>
      <c r="EF66" s="19">
        <f t="shared" si="100"/>
        <v>70.177216075324623</v>
      </c>
      <c r="EG66" s="19">
        <f t="shared" si="101"/>
        <v>66.146413340122336</v>
      </c>
      <c r="EH66" s="17">
        <f t="shared" si="102"/>
        <v>62.114219911315779</v>
      </c>
    </row>
    <row r="67" spans="5:138" x14ac:dyDescent="0.25">
      <c r="E67" s="35"/>
      <c r="F67" s="21">
        <v>6.6666666666666671E-3</v>
      </c>
      <c r="G67" s="14">
        <f t="shared" si="10"/>
        <v>300</v>
      </c>
      <c r="H67" s="15">
        <f t="shared" si="11"/>
        <v>293.460260770069</v>
      </c>
      <c r="I67" s="15">
        <f t="shared" si="12"/>
        <v>286.91913086742642</v>
      </c>
      <c r="J67" s="15">
        <f t="shared" si="13"/>
        <v>280.37523485713598</v>
      </c>
      <c r="K67" s="15">
        <f t="shared" si="14"/>
        <v>273.82722761280831</v>
      </c>
      <c r="L67" s="15">
        <f t="shared" si="15"/>
        <v>267.27380905519675</v>
      </c>
      <c r="M67" s="15">
        <f t="shared" si="16"/>
        <v>260.71373839708934</v>
      </c>
      <c r="N67" s="15">
        <f t="shared" si="17"/>
        <v>254.14584773838658</v>
      </c>
      <c r="O67" s="15">
        <f t="shared" si="18"/>
        <v>247.56905486238031</v>
      </c>
      <c r="P67" s="15">
        <f t="shared" si="19"/>
        <v>240.98237509301288</v>
      </c>
      <c r="Q67" s="15">
        <f t="shared" si="20"/>
        <v>234.3849320831938</v>
      </c>
      <c r="R67" s="15">
        <f t="shared" si="21"/>
        <v>227.77596741597586</v>
      </c>
      <c r="S67" s="15">
        <f t="shared" si="22"/>
        <v>221.1548489134085</v>
      </c>
      <c r="T67" s="15">
        <f t="shared" si="23"/>
        <v>214.52107756205891</v>
      </c>
      <c r="U67" s="15">
        <f t="shared" si="24"/>
        <v>207.87429297935546</v>
      </c>
      <c r="V67" s="15">
        <f t="shared" si="25"/>
        <v>201.21427736090482</v>
      </c>
      <c r="W67" s="15">
        <f t="shared" si="26"/>
        <v>194.5409578655844</v>
      </c>
      <c r="X67" s="15">
        <f t="shared" si="27"/>
        <v>187.85440741233054</v>
      </c>
      <c r="Y67" s="15">
        <f t="shared" si="28"/>
        <v>181.15484387994923</v>
      </c>
      <c r="Z67" s="15">
        <f t="shared" si="29"/>
        <v>174.44262771877197</v>
      </c>
      <c r="AA67" s="15">
        <f t="shared" si="30"/>
        <v>167.71825800037703</v>
      </c>
      <c r="AB67" s="15">
        <f t="shared" si="31"/>
        <v>160.98236694870451</v>
      </c>
      <c r="AC67" s="15">
        <f t="shared" si="32"/>
        <v>154.23571301252576</v>
      </c>
      <c r="AD67" s="15">
        <f t="shared" si="33"/>
        <v>147.47917255519863</v>
      </c>
      <c r="AE67" s="15">
        <f t="shared" si="34"/>
        <v>140.71373025278086</v>
      </c>
      <c r="AF67" s="15">
        <f t="shared" si="35"/>
        <v>133.94046830571313</v>
      </c>
      <c r="AG67" s="15">
        <f t="shared" si="36"/>
        <v>127.16055458227095</v>
      </c>
      <c r="AH67" s="15">
        <f t="shared" si="37"/>
        <v>120.37522982367646</v>
      </c>
      <c r="AI67" s="15">
        <f t="shared" si="120"/>
        <v>113.58579405103112</v>
      </c>
      <c r="AJ67" s="15">
        <f t="shared" si="103"/>
        <v>106.79359232296451</v>
      </c>
      <c r="AK67" s="14">
        <f t="shared" si="39"/>
        <v>100</v>
      </c>
      <c r="AL67" s="33"/>
      <c r="AM67" s="13">
        <v>6.6666666666666671E-3</v>
      </c>
      <c r="AN67" s="17">
        <f t="shared" si="40"/>
        <v>-1076400000</v>
      </c>
      <c r="AO67" s="18">
        <f t="shared" si="104"/>
        <v>-1052941173.0280336</v>
      </c>
      <c r="AP67" s="18">
        <f t="shared" si="41"/>
        <v>-1029477293.2379879</v>
      </c>
      <c r="AQ67" s="18">
        <f t="shared" si="42"/>
        <v>-1006003363.1763178</v>
      </c>
      <c r="AR67" s="18">
        <f t="shared" si="43"/>
        <v>-982514495.51175189</v>
      </c>
      <c r="AS67" s="18">
        <f t="shared" si="44"/>
        <v>-959005966.58609855</v>
      </c>
      <c r="AT67" s="18">
        <f t="shared" si="45"/>
        <v>-935473268.17122114</v>
      </c>
      <c r="AU67" s="18">
        <f t="shared" si="46"/>
        <v>-911912156.86496735</v>
      </c>
      <c r="AV67" s="18">
        <f t="shared" si="47"/>
        <v>-888318700.58473611</v>
      </c>
      <c r="AW67" s="18">
        <f t="shared" si="48"/>
        <v>-864689321.64919972</v>
      </c>
      <c r="AX67" s="18">
        <f t="shared" si="49"/>
        <v>-841020835.97613072</v>
      </c>
      <c r="AY67" s="18">
        <f t="shared" si="50"/>
        <v>-817310487.96686769</v>
      </c>
      <c r="AZ67" s="18">
        <f t="shared" si="51"/>
        <v>-793555980.69526803</v>
      </c>
      <c r="BA67" s="18">
        <f t="shared" si="52"/>
        <v>-769755501.0704726</v>
      </c>
      <c r="BB67" s="18">
        <f t="shared" si="53"/>
        <v>-745907739.69792056</v>
      </c>
      <c r="BC67" s="18">
        <f t="shared" si="54"/>
        <v>-722011905.22116756</v>
      </c>
      <c r="BD67" s="18">
        <f t="shared" si="55"/>
        <v>-698067732.98756146</v>
      </c>
      <c r="BE67" s="18">
        <f t="shared" si="56"/>
        <v>-674075487.94302964</v>
      </c>
      <c r="BF67" s="18">
        <f t="shared" si="57"/>
        <v>-650035961.724473</v>
      </c>
      <c r="BG67" s="18">
        <f t="shared" si="58"/>
        <v>-625950463.98183525</v>
      </c>
      <c r="BH67" s="18">
        <f t="shared" si="59"/>
        <v>-601820808.02512181</v>
      </c>
      <c r="BI67" s="18">
        <f t="shared" si="60"/>
        <v>-577649290.95380783</v>
      </c>
      <c r="BJ67" s="18">
        <f t="shared" si="61"/>
        <v>-553438668.48649693</v>
      </c>
      <c r="BK67" s="18">
        <f t="shared" si="62"/>
        <v>-529192124.7667281</v>
      </c>
      <c r="BL67" s="18">
        <f t="shared" si="63"/>
        <v>-504913237.47582871</v>
      </c>
      <c r="BM67" s="18">
        <f t="shared" si="64"/>
        <v>-480605938.63508916</v>
      </c>
      <c r="BN67" s="18">
        <f t="shared" si="65"/>
        <v>-456274471.5267188</v>
      </c>
      <c r="BO67" s="18">
        <f t="shared" si="66"/>
        <v>-431923344.20552188</v>
      </c>
      <c r="BP67" s="18">
        <f t="shared" si="67"/>
        <v>-407557280.11054397</v>
      </c>
      <c r="BQ67" s="18">
        <f t="shared" si="68"/>
        <v>-383181166.31767422</v>
      </c>
      <c r="BR67" s="17">
        <f t="shared" si="69"/>
        <v>-358800000</v>
      </c>
      <c r="BT67" s="33"/>
      <c r="BU67" s="21">
        <v>6.6666666666666671E-3</v>
      </c>
      <c r="BV67" s="17">
        <v>0</v>
      </c>
      <c r="BW67" s="19">
        <f t="shared" ref="BW67:CY67" si="132">$B$20/($B$21-$B$22*BV67)</f>
        <v>0.34883720930232553</v>
      </c>
      <c r="BX67" s="19">
        <f t="shared" si="132"/>
        <v>0.39716748768472904</v>
      </c>
      <c r="BY67" s="19">
        <f t="shared" si="132"/>
        <v>0.40494040593779607</v>
      </c>
      <c r="BZ67" s="19">
        <f t="shared" si="132"/>
        <v>0.4062190081621499</v>
      </c>
      <c r="CA67" s="19">
        <f t="shared" si="132"/>
        <v>0.40643010492156101</v>
      </c>
      <c r="CB67" s="19">
        <f t="shared" si="132"/>
        <v>0.40646497802255066</v>
      </c>
      <c r="CC67" s="19">
        <f t="shared" si="132"/>
        <v>0.40647073962099717</v>
      </c>
      <c r="CD67" s="19">
        <f t="shared" si="132"/>
        <v>0.40647169154566137</v>
      </c>
      <c r="CE67" s="19">
        <f t="shared" si="132"/>
        <v>0.40647184882198806</v>
      </c>
      <c r="CF67" s="19">
        <f t="shared" si="132"/>
        <v>0.40647187480708435</v>
      </c>
      <c r="CG67" s="19">
        <f t="shared" si="132"/>
        <v>0.40647187910032606</v>
      </c>
      <c r="CH67" s="19">
        <f t="shared" si="132"/>
        <v>0.40647187980965277</v>
      </c>
      <c r="CI67" s="19">
        <f t="shared" si="132"/>
        <v>0.4064718799268473</v>
      </c>
      <c r="CJ67" s="19">
        <f t="shared" si="132"/>
        <v>0.40647187994621015</v>
      </c>
      <c r="CK67" s="19">
        <f t="shared" si="132"/>
        <v>0.40647187994940925</v>
      </c>
      <c r="CL67" s="19">
        <f t="shared" si="132"/>
        <v>0.40647187994993778</v>
      </c>
      <c r="CM67" s="19">
        <f t="shared" si="132"/>
        <v>0.40647187995002515</v>
      </c>
      <c r="CN67" s="19">
        <f t="shared" si="132"/>
        <v>0.40647187995003953</v>
      </c>
      <c r="CO67" s="19">
        <f t="shared" si="132"/>
        <v>0.40647187995004191</v>
      </c>
      <c r="CP67" s="19">
        <f t="shared" si="132"/>
        <v>0.40647187995004236</v>
      </c>
      <c r="CQ67" s="19">
        <f t="shared" si="132"/>
        <v>0.40647187995004236</v>
      </c>
      <c r="CR67" s="19">
        <f t="shared" si="132"/>
        <v>0.40647187995004236</v>
      </c>
      <c r="CS67" s="19">
        <f t="shared" si="132"/>
        <v>0.40647187995004236</v>
      </c>
      <c r="CT67" s="19">
        <f t="shared" si="132"/>
        <v>0.40647187995004236</v>
      </c>
      <c r="CU67" s="19">
        <f t="shared" si="132"/>
        <v>0.40647187995004236</v>
      </c>
      <c r="CV67" s="19">
        <f t="shared" si="132"/>
        <v>0.40647187995004236</v>
      </c>
      <c r="CW67" s="19">
        <f t="shared" si="132"/>
        <v>0.40647187995004236</v>
      </c>
      <c r="CX67" s="19">
        <f t="shared" si="132"/>
        <v>0.40647187995004236</v>
      </c>
      <c r="CY67" s="17">
        <f t="shared" si="132"/>
        <v>0.40647187995004236</v>
      </c>
      <c r="CZ67" s="12">
        <f t="shared" si="71"/>
        <v>100</v>
      </c>
      <c r="DB67" s="33"/>
      <c r="DC67" s="21">
        <v>6.6666666666666671E-3</v>
      </c>
      <c r="DD67" s="17">
        <f t="shared" si="72"/>
        <v>300</v>
      </c>
      <c r="DE67" s="19">
        <f t="shared" si="73"/>
        <v>193.37219186282724</v>
      </c>
      <c r="DF67" s="19">
        <f t="shared" si="74"/>
        <v>175.56320323020185</v>
      </c>
      <c r="DG67" s="19">
        <f t="shared" si="75"/>
        <v>169.4915261507841</v>
      </c>
      <c r="DH67" s="19">
        <f t="shared" si="76"/>
        <v>165.25552599068646</v>
      </c>
      <c r="DI67" s="19">
        <f t="shared" si="77"/>
        <v>161.3118970039753</v>
      </c>
      <c r="DJ67" s="19">
        <f t="shared" si="78"/>
        <v>157.41235198158353</v>
      </c>
      <c r="DK67" s="19">
        <f t="shared" si="79"/>
        <v>153.51627090120363</v>
      </c>
      <c r="DL67" s="19">
        <f t="shared" si="80"/>
        <v>149.61654122563232</v>
      </c>
      <c r="DM67" s="19">
        <f t="shared" si="81"/>
        <v>145.71149841314099</v>
      </c>
      <c r="DN67" s="19">
        <f t="shared" si="82"/>
        <v>141.80040757162473</v>
      </c>
      <c r="DO67" s="19">
        <f t="shared" si="83"/>
        <v>137.88274040599399</v>
      </c>
      <c r="DP67" s="19">
        <f t="shared" si="84"/>
        <v>133.95806325796607</v>
      </c>
      <c r="DQ67" s="19">
        <f t="shared" si="85"/>
        <v>130.02602290627607</v>
      </c>
      <c r="DR67" s="19">
        <f t="shared" si="86"/>
        <v>126.08634738845031</v>
      </c>
      <c r="DS67" s="19">
        <f t="shared" si="87"/>
        <v>122.13884849012193</v>
      </c>
      <c r="DT67" s="19">
        <f t="shared" si="88"/>
        <v>118.18342372781289</v>
      </c>
      <c r="DU67" s="19">
        <f t="shared" si="89"/>
        <v>114.22005745839428</v>
      </c>
      <c r="DV67" s="19">
        <f t="shared" si="90"/>
        <v>110.24882104767511</v>
      </c>
      <c r="DW67" s="19">
        <f t="shared" si="91"/>
        <v>106.26987208741257</v>
      </c>
      <c r="DX67" s="19">
        <f t="shared" si="92"/>
        <v>102.28345266792955</v>
      </c>
      <c r="DY67" s="19">
        <f t="shared" si="93"/>
        <v>98.289886725067959</v>
      </c>
      <c r="DZ67" s="19">
        <f t="shared" si="94"/>
        <v>94.289576490537485</v>
      </c>
      <c r="EA67" s="19">
        <f t="shared" si="95"/>
        <v>90.282998084567637</v>
      </c>
      <c r="EB67" s="19">
        <f t="shared" si="96"/>
        <v>86.270696299168577</v>
      </c>
      <c r="EC67" s="19">
        <f t="shared" si="97"/>
        <v>82.253278629167497</v>
      </c>
      <c r="ED67" s="19">
        <f t="shared" si="98"/>
        <v>78.231408616422769</v>
      </c>
      <c r="EE67" s="19">
        <f t="shared" si="99"/>
        <v>74.205798580135507</v>
      </c>
      <c r="EF67" s="19">
        <f t="shared" si="100"/>
        <v>70.177201812897323</v>
      </c>
      <c r="EG67" s="19">
        <f t="shared" si="101"/>
        <v>66.146404327960283</v>
      </c>
      <c r="EH67" s="17">
        <f t="shared" si="102"/>
        <v>62.114216248125317</v>
      </c>
    </row>
    <row r="68" spans="5:138" x14ac:dyDescent="0.25">
      <c r="E68" s="35"/>
      <c r="F68" s="21">
        <v>3.3333333333333335E-3</v>
      </c>
      <c r="G68" s="14">
        <f t="shared" si="10"/>
        <v>300</v>
      </c>
      <c r="H68" s="15">
        <f t="shared" si="11"/>
        <v>293.46025623641458</v>
      </c>
      <c r="I68" s="15">
        <f t="shared" si="12"/>
        <v>286.91912184980561</v>
      </c>
      <c r="J68" s="15">
        <f t="shared" si="13"/>
        <v>280.37522145438004</v>
      </c>
      <c r="K68" s="15">
        <f t="shared" si="14"/>
        <v>273.82720997180729</v>
      </c>
      <c r="L68" s="15">
        <f t="shared" si="15"/>
        <v>267.27378736928802</v>
      </c>
      <c r="M68" s="15">
        <f t="shared" si="16"/>
        <v>260.71371290393699</v>
      </c>
      <c r="N68" s="15">
        <f t="shared" si="17"/>
        <v>254.14581871737434</v>
      </c>
      <c r="O68" s="15">
        <f t="shared" si="18"/>
        <v>247.56902263154731</v>
      </c>
      <c r="P68" s="15">
        <f t="shared" si="19"/>
        <v>240.98234000556573</v>
      </c>
      <c r="Q68" s="15">
        <f t="shared" si="20"/>
        <v>234.38489452363336</v>
      </c>
      <c r="R68" s="15">
        <f t="shared" si="21"/>
        <v>227.77592779588119</v>
      </c>
      <c r="S68" s="15">
        <f t="shared" si="22"/>
        <v>221.1548076669246</v>
      </c>
      <c r="T68" s="15">
        <f t="shared" si="23"/>
        <v>214.52103514113753</v>
      </c>
      <c r="U68" s="15">
        <f t="shared" si="24"/>
        <v>207.8742498488013</v>
      </c>
      <c r="V68" s="15">
        <f t="shared" si="25"/>
        <v>201.21423399328177</v>
      </c>
      <c r="W68" s="15">
        <f t="shared" si="26"/>
        <v>194.54091473603722</v>
      </c>
      <c r="X68" s="15">
        <f t="shared" si="27"/>
        <v>187.85436499337908</v>
      </c>
      <c r="Y68" s="15">
        <f t="shared" si="28"/>
        <v>181.15480263631213</v>
      </c>
      <c r="Z68" s="15">
        <f t="shared" si="29"/>
        <v>174.44258810227657</v>
      </c>
      <c r="AA68" s="15">
        <f t="shared" si="30"/>
        <v>167.71822044501099</v>
      </c>
      <c r="AB68" s="15">
        <f t="shared" si="31"/>
        <v>160.98233186586359</v>
      </c>
      <c r="AC68" s="15">
        <f t="shared" si="32"/>
        <v>154.23568078650948</v>
      </c>
      <c r="AD68" s="15">
        <f t="shared" si="33"/>
        <v>147.47914353900308</v>
      </c>
      <c r="AE68" s="15">
        <f t="shared" si="34"/>
        <v>140.71370476423471</v>
      </c>
      <c r="AF68" s="15">
        <f t="shared" si="35"/>
        <v>133.94044662399881</v>
      </c>
      <c r="AG68" s="15">
        <f t="shared" si="36"/>
        <v>127.16053694486916</v>
      </c>
      <c r="AH68" s="15">
        <f t="shared" si="37"/>
        <v>120.37521642376734</v>
      </c>
      <c r="AI68" s="15">
        <f t="shared" si="120"/>
        <v>113.58578503538027</v>
      </c>
      <c r="AJ68" s="15">
        <f t="shared" si="103"/>
        <v>106.79358779031702</v>
      </c>
      <c r="AK68" s="14">
        <f t="shared" si="39"/>
        <v>100</v>
      </c>
      <c r="AL68" s="33"/>
      <c r="AM68" s="13">
        <v>3.3333333333333335E-3</v>
      </c>
      <c r="AN68" s="17">
        <f t="shared" si="40"/>
        <v>-1076400000</v>
      </c>
      <c r="AO68" s="18">
        <f t="shared" si="104"/>
        <v>-1052941156.5555725</v>
      </c>
      <c r="AP68" s="18">
        <f t="shared" si="41"/>
        <v>-1029477260.4736034</v>
      </c>
      <c r="AQ68" s="18">
        <f t="shared" si="42"/>
        <v>-1006003314.4791048</v>
      </c>
      <c r="AR68" s="18">
        <f t="shared" si="43"/>
        <v>-982514431.41542327</v>
      </c>
      <c r="AS68" s="18">
        <f t="shared" si="44"/>
        <v>-959005887.79312897</v>
      </c>
      <c r="AT68" s="18">
        <f t="shared" si="45"/>
        <v>-935473175.54514194</v>
      </c>
      <c r="AU68" s="18">
        <f t="shared" si="46"/>
        <v>-911912051.42089319</v>
      </c>
      <c r="AV68" s="18">
        <f t="shared" si="47"/>
        <v>-888318583.47823167</v>
      </c>
      <c r="AW68" s="18">
        <f t="shared" si="48"/>
        <v>-864689194.16360593</v>
      </c>
      <c r="AX68" s="18">
        <f t="shared" si="49"/>
        <v>-841020699.50849044</v>
      </c>
      <c r="AY68" s="18">
        <f t="shared" si="50"/>
        <v>-817310344.01260781</v>
      </c>
      <c r="AZ68" s="18">
        <f t="shared" si="51"/>
        <v>-793555830.83180368</v>
      </c>
      <c r="BA68" s="18">
        <f t="shared" si="52"/>
        <v>-769755346.93991506</v>
      </c>
      <c r="BB68" s="18">
        <f t="shared" si="53"/>
        <v>-745907582.98907793</v>
      </c>
      <c r="BC68" s="18">
        <f t="shared" si="54"/>
        <v>-722011747.65103674</v>
      </c>
      <c r="BD68" s="18">
        <f t="shared" si="55"/>
        <v>-698067576.28251398</v>
      </c>
      <c r="BE68" s="18">
        <f t="shared" si="56"/>
        <v>-674075333.81989658</v>
      </c>
      <c r="BF68" s="18">
        <f t="shared" si="57"/>
        <v>-650035811.87173808</v>
      </c>
      <c r="BG68" s="18">
        <f t="shared" si="58"/>
        <v>-625950320.04114079</v>
      </c>
      <c r="BH68" s="18">
        <f t="shared" si="59"/>
        <v>-601820671.57328999</v>
      </c>
      <c r="BI68" s="18">
        <f t="shared" si="60"/>
        <v>-577649163.4855746</v>
      </c>
      <c r="BJ68" s="18">
        <f t="shared" si="61"/>
        <v>-553438551.39814663</v>
      </c>
      <c r="BK68" s="18">
        <f t="shared" si="62"/>
        <v>-529192019.34080791</v>
      </c>
      <c r="BL68" s="18">
        <f t="shared" si="63"/>
        <v>-504913144.86710995</v>
      </c>
      <c r="BM68" s="18">
        <f t="shared" si="64"/>
        <v>-480605859.8579281</v>
      </c>
      <c r="BN68" s="18">
        <f t="shared" si="65"/>
        <v>-456274407.44395542</v>
      </c>
      <c r="BO68" s="18">
        <f t="shared" si="66"/>
        <v>-431923295.51903838</v>
      </c>
      <c r="BP68" s="18">
        <f t="shared" si="67"/>
        <v>-407557247.35358399</v>
      </c>
      <c r="BQ68" s="18">
        <f t="shared" si="68"/>
        <v>-383181149.8490082</v>
      </c>
      <c r="BR68" s="17">
        <f t="shared" si="69"/>
        <v>-358800000</v>
      </c>
      <c r="BT68" s="33"/>
      <c r="BU68" s="21">
        <v>3.3333333333333335E-3</v>
      </c>
      <c r="BV68" s="17">
        <v>0</v>
      </c>
      <c r="BW68" s="19">
        <f t="shared" ref="BW68:CY68" si="133">$B$20/($B$21-$B$22*BV68)</f>
        <v>0.34883720930232553</v>
      </c>
      <c r="BX68" s="19">
        <f t="shared" si="133"/>
        <v>0.39716748768472904</v>
      </c>
      <c r="BY68" s="19">
        <f t="shared" si="133"/>
        <v>0.40494040593779607</v>
      </c>
      <c r="BZ68" s="19">
        <f t="shared" si="133"/>
        <v>0.4062190081621499</v>
      </c>
      <c r="CA68" s="19">
        <f t="shared" si="133"/>
        <v>0.40643010492156101</v>
      </c>
      <c r="CB68" s="19">
        <f t="shared" si="133"/>
        <v>0.40646497802255066</v>
      </c>
      <c r="CC68" s="19">
        <f t="shared" si="133"/>
        <v>0.40647073962099717</v>
      </c>
      <c r="CD68" s="19">
        <f t="shared" si="133"/>
        <v>0.40647169154566137</v>
      </c>
      <c r="CE68" s="19">
        <f t="shared" si="133"/>
        <v>0.40647184882198806</v>
      </c>
      <c r="CF68" s="19">
        <f t="shared" si="133"/>
        <v>0.40647187480708435</v>
      </c>
      <c r="CG68" s="19">
        <f t="shared" si="133"/>
        <v>0.40647187910032606</v>
      </c>
      <c r="CH68" s="19">
        <f t="shared" si="133"/>
        <v>0.40647187980965277</v>
      </c>
      <c r="CI68" s="19">
        <f t="shared" si="133"/>
        <v>0.4064718799268473</v>
      </c>
      <c r="CJ68" s="19">
        <f t="shared" si="133"/>
        <v>0.40647187994621015</v>
      </c>
      <c r="CK68" s="19">
        <f t="shared" si="133"/>
        <v>0.40647187994940925</v>
      </c>
      <c r="CL68" s="19">
        <f t="shared" si="133"/>
        <v>0.40647187994993778</v>
      </c>
      <c r="CM68" s="19">
        <f t="shared" si="133"/>
        <v>0.40647187995002515</v>
      </c>
      <c r="CN68" s="19">
        <f t="shared" si="133"/>
        <v>0.40647187995003953</v>
      </c>
      <c r="CO68" s="19">
        <f t="shared" si="133"/>
        <v>0.40647187995004191</v>
      </c>
      <c r="CP68" s="19">
        <f t="shared" si="133"/>
        <v>0.40647187995004236</v>
      </c>
      <c r="CQ68" s="19">
        <f t="shared" si="133"/>
        <v>0.40647187995004236</v>
      </c>
      <c r="CR68" s="19">
        <f t="shared" si="133"/>
        <v>0.40647187995004236</v>
      </c>
      <c r="CS68" s="19">
        <f t="shared" si="133"/>
        <v>0.40647187995004236</v>
      </c>
      <c r="CT68" s="19">
        <f t="shared" si="133"/>
        <v>0.40647187995004236</v>
      </c>
      <c r="CU68" s="19">
        <f t="shared" si="133"/>
        <v>0.40647187995004236</v>
      </c>
      <c r="CV68" s="19">
        <f t="shared" si="133"/>
        <v>0.40647187995004236</v>
      </c>
      <c r="CW68" s="19">
        <f t="shared" si="133"/>
        <v>0.40647187995004236</v>
      </c>
      <c r="CX68" s="19">
        <f t="shared" si="133"/>
        <v>0.40647187995004236</v>
      </c>
      <c r="CY68" s="17">
        <f t="shared" si="133"/>
        <v>0.40647187995004236</v>
      </c>
      <c r="CZ68" s="12">
        <f t="shared" si="71"/>
        <v>100</v>
      </c>
      <c r="DB68" s="33"/>
      <c r="DC68" s="21">
        <v>3.3333333333333335E-3</v>
      </c>
      <c r="DD68" s="17">
        <f t="shared" si="72"/>
        <v>300</v>
      </c>
      <c r="DE68" s="19">
        <f t="shared" si="73"/>
        <v>193.37219047485448</v>
      </c>
      <c r="DF68" s="19">
        <f t="shared" si="74"/>
        <v>175.56319953571997</v>
      </c>
      <c r="DG68" s="19">
        <f t="shared" si="75"/>
        <v>169.4915198915823</v>
      </c>
      <c r="DH68" s="19">
        <f t="shared" si="76"/>
        <v>165.25551715891376</v>
      </c>
      <c r="DI68" s="19">
        <f t="shared" si="77"/>
        <v>161.31188567925116</v>
      </c>
      <c r="DJ68" s="19">
        <f t="shared" si="78"/>
        <v>157.4123382844563</v>
      </c>
      <c r="DK68" s="19">
        <f t="shared" si="79"/>
        <v>153.51625498108191</v>
      </c>
      <c r="DL68" s="19">
        <f t="shared" si="80"/>
        <v>149.6165232568533</v>
      </c>
      <c r="DM68" s="19">
        <f t="shared" si="81"/>
        <v>145.71147859259781</v>
      </c>
      <c r="DN68" s="19">
        <f t="shared" si="82"/>
        <v>141.80038611651844</v>
      </c>
      <c r="DO68" s="19">
        <f t="shared" si="83"/>
        <v>137.88271755143515</v>
      </c>
      <c r="DP68" s="19">
        <f t="shared" si="84"/>
        <v>133.95803925439384</v>
      </c>
      <c r="DQ68" s="19">
        <f t="shared" si="85"/>
        <v>130.02599801671209</v>
      </c>
      <c r="DR68" s="19">
        <f t="shared" si="86"/>
        <v>126.08632188561543</v>
      </c>
      <c r="DS68" s="19">
        <f t="shared" si="87"/>
        <v>122.13882265344699</v>
      </c>
      <c r="DT68" s="19">
        <f t="shared" si="88"/>
        <v>118.18339784037664</v>
      </c>
      <c r="DU68" s="19">
        <f t="shared" si="89"/>
        <v>114.22003180382151</v>
      </c>
      <c r="DV68" s="19">
        <f t="shared" si="90"/>
        <v>110.24879590702936</v>
      </c>
      <c r="DW68" s="19">
        <f t="shared" si="91"/>
        <v>106.2698477361174</v>
      </c>
      <c r="DX68" s="19">
        <f t="shared" si="92"/>
        <v>102.2834293727518</v>
      </c>
      <c r="DY68" s="19">
        <f t="shared" si="93"/>
        <v>98.289864741196453</v>
      </c>
      <c r="DZ68" s="19">
        <f t="shared" si="94"/>
        <v>94.289556058788747</v>
      </c>
      <c r="EA68" s="19">
        <f t="shared" si="95"/>
        <v>90.282979428749371</v>
      </c>
      <c r="EB68" s="19">
        <f t="shared" si="96"/>
        <v>86.270679623629619</v>
      </c>
      <c r="EC68" s="19">
        <f t="shared" si="97"/>
        <v>82.253264116561041</v>
      </c>
      <c r="ED68" s="19">
        <f t="shared" si="98"/>
        <v>78.231396425707231</v>
      </c>
      <c r="EE68" s="19">
        <f t="shared" si="99"/>
        <v>74.205788844834942</v>
      </c>
      <c r="EF68" s="19">
        <f t="shared" si="100"/>
        <v>70.17719463964022</v>
      </c>
      <c r="EG68" s="19">
        <f t="shared" si="101"/>
        <v>66.146399795312774</v>
      </c>
      <c r="EH68" s="17">
        <f t="shared" si="102"/>
        <v>62.114214405731559</v>
      </c>
    </row>
    <row r="69" spans="5:138" x14ac:dyDescent="0.25">
      <c r="E69" s="35"/>
      <c r="F69" s="21">
        <v>0</v>
      </c>
      <c r="G69" s="14">
        <f t="shared" si="10"/>
        <v>300</v>
      </c>
      <c r="H69" s="16">
        <f t="shared" si="11"/>
        <v>293.46025623641458</v>
      </c>
      <c r="I69" s="16">
        <f t="shared" si="12"/>
        <v>286.91912184980561</v>
      </c>
      <c r="J69" s="16">
        <f t="shared" si="13"/>
        <v>280.37522145438004</v>
      </c>
      <c r="K69" s="16">
        <f t="shared" si="14"/>
        <v>273.82720997180729</v>
      </c>
      <c r="L69" s="16">
        <f t="shared" si="15"/>
        <v>267.27378736928802</v>
      </c>
      <c r="M69" s="16">
        <f t="shared" si="16"/>
        <v>260.71371290393699</v>
      </c>
      <c r="N69" s="16">
        <f t="shared" si="17"/>
        <v>254.14581871737434</v>
      </c>
      <c r="O69" s="16">
        <f t="shared" si="18"/>
        <v>247.56902263154731</v>
      </c>
      <c r="P69" s="16">
        <f t="shared" si="19"/>
        <v>240.98234000556573</v>
      </c>
      <c r="Q69" s="16">
        <f t="shared" si="20"/>
        <v>234.38489452363336</v>
      </c>
      <c r="R69" s="16">
        <f t="shared" si="21"/>
        <v>227.77592779588119</v>
      </c>
      <c r="S69" s="16">
        <f t="shared" si="22"/>
        <v>221.1548076669246</v>
      </c>
      <c r="T69" s="16">
        <f t="shared" si="23"/>
        <v>214.52103514113753</v>
      </c>
      <c r="U69" s="16">
        <f t="shared" si="24"/>
        <v>207.8742498488013</v>
      </c>
      <c r="V69" s="16">
        <f t="shared" si="25"/>
        <v>201.21423399328177</v>
      </c>
      <c r="W69" s="16">
        <f t="shared" si="26"/>
        <v>194.54091473603722</v>
      </c>
      <c r="X69" s="16">
        <f t="shared" si="27"/>
        <v>187.85436499337908</v>
      </c>
      <c r="Y69" s="16">
        <f t="shared" si="28"/>
        <v>181.15480263631213</v>
      </c>
      <c r="Z69" s="16">
        <f t="shared" si="29"/>
        <v>174.44258810227657</v>
      </c>
      <c r="AA69" s="16">
        <f t="shared" si="30"/>
        <v>167.71822044501099</v>
      </c>
      <c r="AB69" s="16">
        <f t="shared" si="31"/>
        <v>160.98233186586359</v>
      </c>
      <c r="AC69" s="16">
        <f t="shared" si="32"/>
        <v>154.23568078650948</v>
      </c>
      <c r="AD69" s="16">
        <f t="shared" si="33"/>
        <v>147.47914353900308</v>
      </c>
      <c r="AE69" s="16">
        <f t="shared" si="34"/>
        <v>140.71370476423471</v>
      </c>
      <c r="AF69" s="16">
        <f t="shared" si="35"/>
        <v>133.94044662399881</v>
      </c>
      <c r="AG69" s="16">
        <f t="shared" si="36"/>
        <v>127.16053694486916</v>
      </c>
      <c r="AH69" s="16">
        <f t="shared" si="37"/>
        <v>120.37521642376734</v>
      </c>
      <c r="AI69" s="16">
        <f t="shared" si="120"/>
        <v>113.58578503538027</v>
      </c>
      <c r="AJ69" s="16">
        <f t="shared" si="103"/>
        <v>106.79358779031702</v>
      </c>
      <c r="AK69" s="14">
        <f t="shared" si="39"/>
        <v>100</v>
      </c>
      <c r="AL69" s="33"/>
      <c r="AM69" s="13">
        <v>0</v>
      </c>
      <c r="AN69" s="17">
        <f t="shared" si="40"/>
        <v>-1076400000</v>
      </c>
      <c r="AO69" s="17">
        <f t="shared" si="104"/>
        <v>-1052941156.5555725</v>
      </c>
      <c r="AP69" s="17">
        <f t="shared" si="41"/>
        <v>-1029477260.4736034</v>
      </c>
      <c r="AQ69" s="17">
        <f t="shared" si="42"/>
        <v>-1006003314.4791048</v>
      </c>
      <c r="AR69" s="17">
        <f t="shared" si="43"/>
        <v>-982514431.41542327</v>
      </c>
      <c r="AS69" s="17">
        <f t="shared" si="44"/>
        <v>-959005887.79312897</v>
      </c>
      <c r="AT69" s="17">
        <f t="shared" si="45"/>
        <v>-935473175.54514194</v>
      </c>
      <c r="AU69" s="17">
        <f t="shared" si="46"/>
        <v>-911912051.42089319</v>
      </c>
      <c r="AV69" s="17">
        <f t="shared" si="47"/>
        <v>-888318583.47823167</v>
      </c>
      <c r="AW69" s="17">
        <f t="shared" si="48"/>
        <v>-864689194.16360593</v>
      </c>
      <c r="AX69" s="17">
        <f t="shared" si="49"/>
        <v>-841020699.50849044</v>
      </c>
      <c r="AY69" s="17">
        <f t="shared" si="50"/>
        <v>-817310344.01260781</v>
      </c>
      <c r="AZ69" s="17">
        <f t="shared" si="51"/>
        <v>-793555830.83180368</v>
      </c>
      <c r="BA69" s="17">
        <f t="shared" si="52"/>
        <v>-769755346.93991506</v>
      </c>
      <c r="BB69" s="17">
        <f t="shared" si="53"/>
        <v>-745907582.98907793</v>
      </c>
      <c r="BC69" s="17">
        <f t="shared" si="54"/>
        <v>-722011747.65103674</v>
      </c>
      <c r="BD69" s="17">
        <f t="shared" si="55"/>
        <v>-698067576.28251398</v>
      </c>
      <c r="BE69" s="17">
        <f t="shared" si="56"/>
        <v>-674075333.81989658</v>
      </c>
      <c r="BF69" s="17">
        <f t="shared" si="57"/>
        <v>-650035811.87173808</v>
      </c>
      <c r="BG69" s="17">
        <f t="shared" si="58"/>
        <v>-625950320.04114079</v>
      </c>
      <c r="BH69" s="17">
        <f t="shared" si="59"/>
        <v>-601820671.57328999</v>
      </c>
      <c r="BI69" s="17">
        <f t="shared" si="60"/>
        <v>-577649163.4855746</v>
      </c>
      <c r="BJ69" s="17">
        <f t="shared" si="61"/>
        <v>-553438551.39814663</v>
      </c>
      <c r="BK69" s="17">
        <f t="shared" si="62"/>
        <v>-529192019.34080791</v>
      </c>
      <c r="BL69" s="17">
        <f t="shared" si="63"/>
        <v>-504913144.86710995</v>
      </c>
      <c r="BM69" s="17">
        <f t="shared" si="64"/>
        <v>-480605859.8579281</v>
      </c>
      <c r="BN69" s="17">
        <f t="shared" si="65"/>
        <v>-456274407.44395542</v>
      </c>
      <c r="BO69" s="17">
        <f t="shared" si="66"/>
        <v>-431923295.51903838</v>
      </c>
      <c r="BP69" s="17">
        <f t="shared" si="67"/>
        <v>-407557247.35358399</v>
      </c>
      <c r="BQ69" s="17">
        <f t="shared" si="68"/>
        <v>-383181149.8490082</v>
      </c>
      <c r="BR69" s="17">
        <f t="shared" si="69"/>
        <v>-358800000</v>
      </c>
      <c r="BT69" s="33"/>
      <c r="BU69" s="21">
        <v>0</v>
      </c>
      <c r="BV69" s="17">
        <v>0</v>
      </c>
      <c r="BW69" s="17">
        <f t="shared" ref="BW69:CY69" si="134">$B$20/($B$21-$B$22*BV69)</f>
        <v>0.34883720930232553</v>
      </c>
      <c r="BX69" s="17">
        <f t="shared" si="134"/>
        <v>0.39716748768472904</v>
      </c>
      <c r="BY69" s="17">
        <f t="shared" si="134"/>
        <v>0.40494040593779607</v>
      </c>
      <c r="BZ69" s="17">
        <f t="shared" si="134"/>
        <v>0.4062190081621499</v>
      </c>
      <c r="CA69" s="17">
        <f t="shared" si="134"/>
        <v>0.40643010492156101</v>
      </c>
      <c r="CB69" s="17">
        <f t="shared" si="134"/>
        <v>0.40646497802255066</v>
      </c>
      <c r="CC69" s="17">
        <f t="shared" si="134"/>
        <v>0.40647073962099717</v>
      </c>
      <c r="CD69" s="17">
        <f t="shared" si="134"/>
        <v>0.40647169154566137</v>
      </c>
      <c r="CE69" s="17">
        <f t="shared" si="134"/>
        <v>0.40647184882198806</v>
      </c>
      <c r="CF69" s="17">
        <f t="shared" si="134"/>
        <v>0.40647187480708435</v>
      </c>
      <c r="CG69" s="17">
        <f t="shared" si="134"/>
        <v>0.40647187910032606</v>
      </c>
      <c r="CH69" s="17">
        <f t="shared" si="134"/>
        <v>0.40647187980965277</v>
      </c>
      <c r="CI69" s="17">
        <f t="shared" si="134"/>
        <v>0.4064718799268473</v>
      </c>
      <c r="CJ69" s="17">
        <f t="shared" si="134"/>
        <v>0.40647187994621015</v>
      </c>
      <c r="CK69" s="17">
        <f t="shared" si="134"/>
        <v>0.40647187994940925</v>
      </c>
      <c r="CL69" s="17">
        <f t="shared" si="134"/>
        <v>0.40647187994993778</v>
      </c>
      <c r="CM69" s="17">
        <f t="shared" si="134"/>
        <v>0.40647187995002515</v>
      </c>
      <c r="CN69" s="17">
        <f t="shared" si="134"/>
        <v>0.40647187995003953</v>
      </c>
      <c r="CO69" s="17">
        <f t="shared" si="134"/>
        <v>0.40647187995004191</v>
      </c>
      <c r="CP69" s="17">
        <f t="shared" si="134"/>
        <v>0.40647187995004236</v>
      </c>
      <c r="CQ69" s="17">
        <f t="shared" si="134"/>
        <v>0.40647187995004236</v>
      </c>
      <c r="CR69" s="17">
        <f t="shared" si="134"/>
        <v>0.40647187995004236</v>
      </c>
      <c r="CS69" s="17">
        <f t="shared" si="134"/>
        <v>0.40647187995004236</v>
      </c>
      <c r="CT69" s="17">
        <f t="shared" si="134"/>
        <v>0.40647187995004236</v>
      </c>
      <c r="CU69" s="17">
        <f t="shared" si="134"/>
        <v>0.40647187995004236</v>
      </c>
      <c r="CV69" s="17">
        <f t="shared" si="134"/>
        <v>0.40647187995004236</v>
      </c>
      <c r="CW69" s="17">
        <f t="shared" si="134"/>
        <v>0.40647187995004236</v>
      </c>
      <c r="CX69" s="17">
        <f t="shared" si="134"/>
        <v>0.40647187995004236</v>
      </c>
      <c r="CY69" s="17">
        <f t="shared" si="134"/>
        <v>0.40647187995004236</v>
      </c>
      <c r="CZ69" s="12">
        <f t="shared" si="71"/>
        <v>100</v>
      </c>
      <c r="DB69" s="33"/>
      <c r="DC69" s="21">
        <v>0</v>
      </c>
      <c r="DD69" s="17">
        <f t="shared" si="72"/>
        <v>300</v>
      </c>
      <c r="DE69" s="17">
        <f t="shared" si="73"/>
        <v>193.37219047485448</v>
      </c>
      <c r="DF69" s="17">
        <f t="shared" si="74"/>
        <v>175.56319953571997</v>
      </c>
      <c r="DG69" s="17">
        <f t="shared" si="75"/>
        <v>169.4915198915823</v>
      </c>
      <c r="DH69" s="17">
        <f t="shared" si="76"/>
        <v>165.25551715891376</v>
      </c>
      <c r="DI69" s="17">
        <f t="shared" si="77"/>
        <v>161.31188567925116</v>
      </c>
      <c r="DJ69" s="17">
        <f t="shared" si="78"/>
        <v>157.4123382844563</v>
      </c>
      <c r="DK69" s="17">
        <f t="shared" si="79"/>
        <v>153.51625498108191</v>
      </c>
      <c r="DL69" s="17">
        <f t="shared" si="80"/>
        <v>149.6165232568533</v>
      </c>
      <c r="DM69" s="17">
        <f t="shared" si="81"/>
        <v>145.71147859259781</v>
      </c>
      <c r="DN69" s="17">
        <f t="shared" si="82"/>
        <v>141.80038611651844</v>
      </c>
      <c r="DO69" s="17">
        <f t="shared" si="83"/>
        <v>137.88271755143515</v>
      </c>
      <c r="DP69" s="17">
        <f t="shared" si="84"/>
        <v>133.95803925439384</v>
      </c>
      <c r="DQ69" s="17">
        <f t="shared" si="85"/>
        <v>130.02599801671209</v>
      </c>
      <c r="DR69" s="17">
        <f t="shared" si="86"/>
        <v>126.08632188561543</v>
      </c>
      <c r="DS69" s="17">
        <f t="shared" si="87"/>
        <v>122.13882265344699</v>
      </c>
      <c r="DT69" s="17">
        <f t="shared" si="88"/>
        <v>118.18339784037664</v>
      </c>
      <c r="DU69" s="17">
        <f t="shared" si="89"/>
        <v>114.22003180382151</v>
      </c>
      <c r="DV69" s="17">
        <f t="shared" si="90"/>
        <v>110.24879590702936</v>
      </c>
      <c r="DW69" s="17">
        <f t="shared" si="91"/>
        <v>106.2698477361174</v>
      </c>
      <c r="DX69" s="17">
        <f t="shared" si="92"/>
        <v>102.2834293727518</v>
      </c>
      <c r="DY69" s="17">
        <f t="shared" si="93"/>
        <v>98.289864741196453</v>
      </c>
      <c r="DZ69" s="17">
        <f t="shared" si="94"/>
        <v>94.289556058788747</v>
      </c>
      <c r="EA69" s="17">
        <f t="shared" si="95"/>
        <v>90.282979428749371</v>
      </c>
      <c r="EB69" s="17">
        <f t="shared" si="96"/>
        <v>86.270679623629619</v>
      </c>
      <c r="EC69" s="17">
        <f t="shared" si="97"/>
        <v>82.253264116561041</v>
      </c>
      <c r="ED69" s="17">
        <f t="shared" si="98"/>
        <v>78.231396425707231</v>
      </c>
      <c r="EE69" s="17">
        <f t="shared" si="99"/>
        <v>74.205788844834942</v>
      </c>
      <c r="EF69" s="17">
        <f t="shared" si="100"/>
        <v>70.17719463964022</v>
      </c>
      <c r="EG69" s="17">
        <f t="shared" si="101"/>
        <v>66.146399795312774</v>
      </c>
      <c r="EH69" s="17">
        <f t="shared" si="102"/>
        <v>62.114214405731559</v>
      </c>
    </row>
    <row r="70" spans="5:138" x14ac:dyDescent="0.25">
      <c r="AM70" s="10"/>
    </row>
    <row r="71" spans="5:138" x14ac:dyDescent="0.25">
      <c r="AM71" s="10"/>
    </row>
    <row r="72" spans="5:138" x14ac:dyDescent="0.25">
      <c r="AM72" s="10"/>
    </row>
    <row r="73" spans="5:138" x14ac:dyDescent="0.25">
      <c r="E73" s="34" t="s">
        <v>41</v>
      </c>
      <c r="F73" s="20" t="s">
        <v>36</v>
      </c>
      <c r="G73" s="20">
        <v>0</v>
      </c>
      <c r="H73" s="21">
        <v>3.3333333333333335E-3</v>
      </c>
      <c r="I73" s="21">
        <v>6.6666666666666671E-3</v>
      </c>
      <c r="J73" s="21">
        <v>0.01</v>
      </c>
      <c r="K73" s="21">
        <v>1.3333333333333334E-2</v>
      </c>
      <c r="L73" s="21">
        <v>1.6666666666666666E-2</v>
      </c>
      <c r="M73" s="21">
        <v>0.02</v>
      </c>
      <c r="N73" s="21">
        <v>2.3333333333333334E-2</v>
      </c>
      <c r="O73" s="21">
        <v>2.6666666666666668E-2</v>
      </c>
      <c r="P73" s="21">
        <v>3.0000000000000002E-2</v>
      </c>
      <c r="Q73" s="21">
        <v>3.3333333333333333E-2</v>
      </c>
      <c r="R73" s="21">
        <v>3.6666666666666667E-2</v>
      </c>
      <c r="S73" s="21">
        <v>0.04</v>
      </c>
      <c r="T73" s="21">
        <v>4.3333333333333335E-2</v>
      </c>
      <c r="U73" s="21">
        <v>4.6666666666666669E-2</v>
      </c>
      <c r="V73" s="21">
        <v>0.05</v>
      </c>
      <c r="W73" s="21">
        <v>5.3333333333333337E-2</v>
      </c>
      <c r="X73" s="21">
        <v>5.6666666666666671E-2</v>
      </c>
      <c r="Y73" s="21">
        <v>6.0000000000000005E-2</v>
      </c>
      <c r="Z73" s="21">
        <v>6.3333333333333339E-2</v>
      </c>
      <c r="AA73" s="21">
        <v>6.6666666666666666E-2</v>
      </c>
      <c r="AB73" s="21">
        <v>7.0000000000000007E-2</v>
      </c>
      <c r="AC73" s="21">
        <v>7.3333333333333334E-2</v>
      </c>
      <c r="AD73" s="21">
        <v>7.6666666666666675E-2</v>
      </c>
      <c r="AE73" s="21">
        <v>0.08</v>
      </c>
      <c r="AF73" s="21">
        <v>8.3333333333333343E-2</v>
      </c>
      <c r="AG73" s="21">
        <v>8.666666666666667E-2</v>
      </c>
      <c r="AH73" s="21">
        <v>9.0000000000000011E-2</v>
      </c>
      <c r="AI73" s="21">
        <v>9.3333333333333338E-2</v>
      </c>
      <c r="AJ73" s="21">
        <v>9.6666666666666679E-2</v>
      </c>
      <c r="AK73" s="21">
        <v>0.1</v>
      </c>
      <c r="AL73" s="36" t="s">
        <v>42</v>
      </c>
      <c r="AM73" s="20" t="s">
        <v>36</v>
      </c>
      <c r="AN73" s="20">
        <v>0</v>
      </c>
      <c r="AO73" s="21">
        <v>3.3333333333333335E-3</v>
      </c>
      <c r="AP73" s="21">
        <v>6.6666666666666671E-3</v>
      </c>
      <c r="AQ73" s="21">
        <v>0.01</v>
      </c>
      <c r="AR73" s="21">
        <v>1.3333333333333334E-2</v>
      </c>
      <c r="AS73" s="21">
        <v>1.6666666666666666E-2</v>
      </c>
      <c r="AT73" s="21">
        <v>0.02</v>
      </c>
      <c r="AU73" s="21">
        <v>2.3333333333333334E-2</v>
      </c>
      <c r="AV73" s="21">
        <v>2.6666666666666668E-2</v>
      </c>
      <c r="AW73" s="21">
        <v>3.0000000000000002E-2</v>
      </c>
      <c r="AX73" s="21">
        <v>3.3333333333333333E-2</v>
      </c>
      <c r="AY73" s="21">
        <v>3.6666666666666667E-2</v>
      </c>
      <c r="AZ73" s="21">
        <v>0.04</v>
      </c>
      <c r="BA73" s="21">
        <v>4.3333333333333335E-2</v>
      </c>
      <c r="BB73" s="21">
        <v>4.6666666666666669E-2</v>
      </c>
      <c r="BC73" s="21">
        <v>0.05</v>
      </c>
      <c r="BD73" s="21">
        <v>5.3333333333333337E-2</v>
      </c>
      <c r="BE73" s="21">
        <v>5.6666666666666671E-2</v>
      </c>
      <c r="BF73" s="21">
        <v>6.0000000000000005E-2</v>
      </c>
      <c r="BG73" s="21">
        <v>6.3333333333333339E-2</v>
      </c>
      <c r="BH73" s="21">
        <v>6.6666666666666666E-2</v>
      </c>
      <c r="BI73" s="21">
        <v>7.0000000000000007E-2</v>
      </c>
      <c r="BJ73" s="21">
        <v>7.3333333333333334E-2</v>
      </c>
      <c r="BK73" s="21">
        <v>7.6666666666666675E-2</v>
      </c>
      <c r="BL73" s="21">
        <v>0.08</v>
      </c>
      <c r="BM73" s="21">
        <v>8.3333333333333343E-2</v>
      </c>
      <c r="BN73" s="21">
        <v>8.666666666666667E-2</v>
      </c>
      <c r="BO73" s="21">
        <v>9.0000000000000011E-2</v>
      </c>
      <c r="BP73" s="21">
        <v>9.3333333333333338E-2</v>
      </c>
      <c r="BQ73" s="21">
        <v>9.6666666666666679E-2</v>
      </c>
      <c r="BR73" s="21">
        <v>0.1</v>
      </c>
      <c r="BT73" s="37" t="s">
        <v>43</v>
      </c>
      <c r="BU73" s="20" t="s">
        <v>36</v>
      </c>
      <c r="BV73" s="20">
        <v>0</v>
      </c>
      <c r="BW73" s="21">
        <v>3.3333333333333335E-3</v>
      </c>
      <c r="BX73" s="21">
        <v>6.6666666666666671E-3</v>
      </c>
      <c r="BY73" s="21">
        <v>0.01</v>
      </c>
      <c r="BZ73" s="21">
        <v>1.3333333333333334E-2</v>
      </c>
      <c r="CA73" s="21">
        <v>1.6666666666666666E-2</v>
      </c>
      <c r="CB73" s="21">
        <v>0.02</v>
      </c>
      <c r="CC73" s="21">
        <v>2.3333333333333334E-2</v>
      </c>
      <c r="CD73" s="21">
        <v>2.6666666666666668E-2</v>
      </c>
      <c r="CE73" s="21">
        <v>3.0000000000000002E-2</v>
      </c>
      <c r="CF73" s="21">
        <v>3.3333333333333333E-2</v>
      </c>
      <c r="CG73" s="21">
        <v>3.6666666666666667E-2</v>
      </c>
      <c r="CH73" s="21">
        <v>0.04</v>
      </c>
      <c r="CI73" s="21">
        <v>4.3333333333333335E-2</v>
      </c>
      <c r="CJ73" s="21">
        <v>4.6666666666666669E-2</v>
      </c>
      <c r="CK73" s="21">
        <v>0.05</v>
      </c>
      <c r="CL73" s="21">
        <v>5.3333333333333337E-2</v>
      </c>
      <c r="CM73" s="21">
        <v>5.6666666666666671E-2</v>
      </c>
      <c r="CN73" s="21">
        <v>6.0000000000000005E-2</v>
      </c>
      <c r="CO73" s="21">
        <v>6.3333333333333339E-2</v>
      </c>
      <c r="CP73" s="21">
        <v>6.6666666666666666E-2</v>
      </c>
      <c r="CQ73" s="21">
        <v>7.0000000000000007E-2</v>
      </c>
      <c r="CR73" s="21">
        <v>7.3333333333333334E-2</v>
      </c>
      <c r="CS73" s="21">
        <v>7.6666666666666675E-2</v>
      </c>
      <c r="CT73" s="21">
        <v>0.08</v>
      </c>
      <c r="CU73" s="21">
        <v>8.3333333333333343E-2</v>
      </c>
      <c r="CV73" s="21">
        <v>8.666666666666667E-2</v>
      </c>
      <c r="CW73" s="21">
        <v>9.0000000000000011E-2</v>
      </c>
      <c r="CX73" s="21">
        <v>9.3333333333333338E-2</v>
      </c>
      <c r="CY73" s="21">
        <v>9.6666666666666679E-2</v>
      </c>
      <c r="CZ73" s="21">
        <v>0.1</v>
      </c>
      <c r="DB73" s="37" t="s">
        <v>44</v>
      </c>
      <c r="DC73" s="20" t="s">
        <v>36</v>
      </c>
      <c r="DD73" s="20">
        <v>0</v>
      </c>
      <c r="DE73" s="21">
        <v>3.3333333333333335E-3</v>
      </c>
      <c r="DF73" s="21">
        <v>6.6666666666666671E-3</v>
      </c>
      <c r="DG73" s="21">
        <v>0.01</v>
      </c>
      <c r="DH73" s="21">
        <v>1.3333333333333334E-2</v>
      </c>
      <c r="DI73" s="21">
        <v>1.6666666666666666E-2</v>
      </c>
      <c r="DJ73" s="21">
        <v>0.02</v>
      </c>
      <c r="DK73" s="21">
        <v>2.3333333333333334E-2</v>
      </c>
      <c r="DL73" s="21">
        <v>2.6666666666666668E-2</v>
      </c>
      <c r="DM73" s="21">
        <v>3.0000000000000002E-2</v>
      </c>
      <c r="DN73" s="21">
        <v>3.3333333333333333E-2</v>
      </c>
      <c r="DO73" s="21">
        <v>3.6666666666666667E-2</v>
      </c>
      <c r="DP73" s="21">
        <v>0.04</v>
      </c>
      <c r="DQ73" s="21">
        <v>4.3333333333333335E-2</v>
      </c>
      <c r="DR73" s="21">
        <v>4.6666666666666669E-2</v>
      </c>
      <c r="DS73" s="21">
        <v>0.05</v>
      </c>
      <c r="DT73" s="21">
        <v>5.3333333333333337E-2</v>
      </c>
      <c r="DU73" s="21">
        <v>5.6666666666666671E-2</v>
      </c>
      <c r="DV73" s="21">
        <v>6.0000000000000005E-2</v>
      </c>
      <c r="DW73" s="21">
        <v>6.3333333333333339E-2</v>
      </c>
      <c r="DX73" s="21">
        <v>6.6666666666666666E-2</v>
      </c>
      <c r="DY73" s="21">
        <v>7.0000000000000007E-2</v>
      </c>
      <c r="DZ73" s="21">
        <v>7.3333333333333334E-2</v>
      </c>
      <c r="EA73" s="21">
        <v>7.6666666666666675E-2</v>
      </c>
      <c r="EB73" s="21">
        <v>0.08</v>
      </c>
      <c r="EC73" s="21">
        <v>8.3333333333333343E-2</v>
      </c>
      <c r="ED73" s="21">
        <v>8.666666666666667E-2</v>
      </c>
      <c r="EE73" s="21">
        <v>9.0000000000000011E-2</v>
      </c>
      <c r="EF73" s="21">
        <v>9.3333333333333338E-2</v>
      </c>
      <c r="EG73" s="21">
        <v>9.6666666666666679E-2</v>
      </c>
      <c r="EH73" s="21">
        <v>0.1</v>
      </c>
    </row>
    <row r="74" spans="5:138" x14ac:dyDescent="0.25">
      <c r="E74" s="35"/>
      <c r="F74" s="21">
        <v>0.1</v>
      </c>
      <c r="G74" s="30">
        <f>$B$16</f>
        <v>300</v>
      </c>
      <c r="H74" s="30">
        <f t="shared" ref="H74:AI74" si="135">DE75/(1-BW75)</f>
        <v>293.46102450594111</v>
      </c>
      <c r="I74" s="30">
        <f t="shared" si="135"/>
        <v>286.92064996874257</v>
      </c>
      <c r="J74" s="30">
        <f t="shared" si="135"/>
        <v>280.37749267486981</v>
      </c>
      <c r="K74" s="30">
        <f t="shared" si="135"/>
        <v>273.83019940198261</v>
      </c>
      <c r="L74" s="30">
        <f t="shared" si="135"/>
        <v>267.27746224633813</v>
      </c>
      <c r="M74" s="30">
        <f t="shared" si="135"/>
        <v>260.71803295350009</v>
      </c>
      <c r="N74" s="30">
        <f t="shared" si="135"/>
        <v>254.1507365953006</v>
      </c>
      <c r="O74" s="30">
        <f t="shared" si="135"/>
        <v>247.57448444317009</v>
      </c>
      <c r="P74" s="30">
        <f t="shared" si="135"/>
        <v>240.98828589676714</v>
      </c>
      <c r="Q74" s="30">
        <f t="shared" si="135"/>
        <v>234.39125933720243</v>
      </c>
      <c r="R74" s="30">
        <f t="shared" si="135"/>
        <v>227.78264178594873</v>
      </c>
      <c r="S74" s="30">
        <f t="shared" si="135"/>
        <v>221.16179726362216</v>
      </c>
      <c r="T74" s="30">
        <f t="shared" si="135"/>
        <v>214.52822375708092</v>
      </c>
      <c r="U74" s="30">
        <f t="shared" si="135"/>
        <v>207.88155871854318</v>
      </c>
      <c r="V74" s="30">
        <f t="shared" si="135"/>
        <v>201.22158303652139</v>
      </c>
      <c r="W74" s="30">
        <f t="shared" si="135"/>
        <v>194.54822343511896</v>
      </c>
      <c r="X74" s="30">
        <f t="shared" si="135"/>
        <v>187.86155327546081</v>
      </c>
      <c r="Y74" s="30">
        <f t="shared" si="135"/>
        <v>181.16179175053787</v>
      </c>
      <c r="Z74" s="30">
        <f t="shared" si="135"/>
        <v>174.44930148234849</v>
      </c>
      <c r="AA74" s="30">
        <f t="shared" si="135"/>
        <v>167.72458454772044</v>
      </c>
      <c r="AB74" s="30">
        <f t="shared" si="135"/>
        <v>160.98827697640931</v>
      </c>
      <c r="AC74" s="30">
        <f t="shared" si="135"/>
        <v>154.24114178179889</v>
      </c>
      <c r="AD74" s="30">
        <f t="shared" si="135"/>
        <v>147.48406060059588</v>
      </c>
      <c r="AE74" s="30">
        <f t="shared" si="135"/>
        <v>140.718024033142</v>
      </c>
      <c r="AF74" s="30">
        <f t="shared" si="135"/>
        <v>133.94412079018926</v>
      </c>
      <c r="AG74" s="30">
        <f t="shared" si="135"/>
        <v>127.16352576504889</v>
      </c>
      <c r="AH74" s="30">
        <f t="shared" si="135"/>
        <v>120.37748716178523</v>
      </c>
      <c r="AI74" s="30">
        <f t="shared" si="135"/>
        <v>113.58731282045554</v>
      </c>
      <c r="AJ74" s="30">
        <f>EG75/(1-CY75)</f>
        <v>106.79435588918341</v>
      </c>
      <c r="AK74" s="30">
        <f>$B$17</f>
        <v>100</v>
      </c>
      <c r="AL74" s="36"/>
      <c r="AM74" s="21">
        <v>0.1</v>
      </c>
      <c r="AN74" s="17">
        <f>-($B$12*$B$11)/$B$8*G39</f>
        <v>-1076400000</v>
      </c>
      <c r="AO74" s="17">
        <f t="shared" ref="AO74:BR74" si="136">-($B$12*$B$11)/$B$8*H39</f>
        <v>-1052938174.4479971</v>
      </c>
      <c r="AP74" s="17">
        <f t="shared" si="136"/>
        <v>-1029471328.9262255</v>
      </c>
      <c r="AQ74" s="17">
        <f t="shared" si="136"/>
        <v>-1005994498.4697659</v>
      </c>
      <c r="AR74" s="17">
        <f t="shared" si="136"/>
        <v>-982502827.52053416</v>
      </c>
      <c r="AS74" s="17">
        <f t="shared" si="136"/>
        <v>-958991623.1301558</v>
      </c>
      <c r="AT74" s="17">
        <f t="shared" si="136"/>
        <v>-935456406.38063252</v>
      </c>
      <c r="AU74" s="17">
        <f t="shared" si="136"/>
        <v>-911892961.4592663</v>
      </c>
      <c r="AV74" s="17">
        <f t="shared" si="136"/>
        <v>-888297381.85003686</v>
      </c>
      <c r="AW74" s="17">
        <f t="shared" si="136"/>
        <v>-864666113.13525367</v>
      </c>
      <c r="AX74" s="17">
        <f t="shared" si="136"/>
        <v>-840995991.93850052</v>
      </c>
      <c r="AY74" s="17">
        <f t="shared" si="136"/>
        <v>-817284280.58220303</v>
      </c>
      <c r="AZ74" s="17">
        <f t="shared" si="136"/>
        <v>-793528697.08014679</v>
      </c>
      <c r="BA74" s="17">
        <f t="shared" si="136"/>
        <v>-769727440.13643527</v>
      </c>
      <c r="BB74" s="17">
        <f t="shared" si="136"/>
        <v>-745879208.87712109</v>
      </c>
      <c r="BC74" s="17">
        <f t="shared" si="136"/>
        <v>-721983217.09848952</v>
      </c>
      <c r="BD74" s="17">
        <f t="shared" si="136"/>
        <v>-698039201.87608039</v>
      </c>
      <c r="BE74" s="17">
        <f t="shared" si="136"/>
        <v>-674047426.44033301</v>
      </c>
      <c r="BF74" s="17">
        <f t="shared" si="136"/>
        <v>-650008677.28756797</v>
      </c>
      <c r="BG74" s="17">
        <f t="shared" si="136"/>
        <v>-625924255.55817854</v>
      </c>
      <c r="BH74" s="17">
        <f t="shared" si="136"/>
        <v>-601795962.7767005</v>
      </c>
      <c r="BI74" s="17">
        <f t="shared" si="136"/>
        <v>-577626081.11018813</v>
      </c>
      <c r="BJ74" s="17">
        <f t="shared" si="136"/>
        <v>-553417348.36135519</v>
      </c>
      <c r="BK74" s="17">
        <f t="shared" si="136"/>
        <v>-529172927.97058445</v>
      </c>
      <c r="BL74" s="17">
        <f t="shared" si="136"/>
        <v>-504896374.35556638</v>
      </c>
      <c r="BM74" s="17">
        <f t="shared" si="136"/>
        <v>-480591593.96835512</v>
      </c>
      <c r="BN74" s="17">
        <f t="shared" si="136"/>
        <v>-456262802.49650919</v>
      </c>
      <c r="BO74" s="17">
        <f t="shared" si="136"/>
        <v>-431914478.67718631</v>
      </c>
      <c r="BP74" s="17">
        <f t="shared" si="136"/>
        <v>-407551315.23012239</v>
      </c>
      <c r="BQ74" s="17">
        <f t="shared" si="136"/>
        <v>-383178167.44695598</v>
      </c>
      <c r="BR74" s="17">
        <f t="shared" si="136"/>
        <v>-358800000</v>
      </c>
      <c r="BT74" s="33"/>
      <c r="BU74" s="21">
        <v>0.1</v>
      </c>
      <c r="BV74" s="17">
        <f>$B$20/($B$21-$B$22*BV75)</f>
        <v>0.40647187995004247</v>
      </c>
      <c r="BW74" s="17">
        <f>$B$20/($B$21-$B$22*BW75)</f>
        <v>0.40647187995004247</v>
      </c>
      <c r="BX74" s="17">
        <f t="shared" ref="BX74:CZ74" si="137">$B$20/($B$21-$B$22*BX75)</f>
        <v>0.40647187995004247</v>
      </c>
      <c r="BY74" s="17">
        <f t="shared" si="137"/>
        <v>0.40647187995004247</v>
      </c>
      <c r="BZ74" s="17">
        <f t="shared" si="137"/>
        <v>0.40647187995004247</v>
      </c>
      <c r="CA74" s="17">
        <f t="shared" si="137"/>
        <v>0.40647187995004247</v>
      </c>
      <c r="CB74" s="17">
        <f t="shared" si="137"/>
        <v>0.40647187995004247</v>
      </c>
      <c r="CC74" s="17">
        <f t="shared" si="137"/>
        <v>0.40647187995004247</v>
      </c>
      <c r="CD74" s="17">
        <f t="shared" si="137"/>
        <v>0.40647187995004247</v>
      </c>
      <c r="CE74" s="17">
        <f t="shared" si="137"/>
        <v>0.40647187995004247</v>
      </c>
      <c r="CF74" s="17">
        <f t="shared" si="137"/>
        <v>0.40647187995004247</v>
      </c>
      <c r="CG74" s="17">
        <f t="shared" si="137"/>
        <v>0.40647187995004247</v>
      </c>
      <c r="CH74" s="17">
        <f t="shared" si="137"/>
        <v>0.40647187995004247</v>
      </c>
      <c r="CI74" s="17">
        <f t="shared" si="137"/>
        <v>0.40647187995004247</v>
      </c>
      <c r="CJ74" s="17">
        <f t="shared" si="137"/>
        <v>0.40647187995004247</v>
      </c>
      <c r="CK74" s="17">
        <f t="shared" si="137"/>
        <v>0.40647187995004247</v>
      </c>
      <c r="CL74" s="17">
        <f t="shared" si="137"/>
        <v>0.40647187995004247</v>
      </c>
      <c r="CM74" s="17">
        <f t="shared" si="137"/>
        <v>0.40647187995004247</v>
      </c>
      <c r="CN74" s="17">
        <f t="shared" si="137"/>
        <v>0.40647187995004247</v>
      </c>
      <c r="CO74" s="17">
        <f t="shared" si="137"/>
        <v>0.40647187995004247</v>
      </c>
      <c r="CP74" s="17">
        <f t="shared" si="137"/>
        <v>0.40647187995004247</v>
      </c>
      <c r="CQ74" s="17">
        <f t="shared" si="137"/>
        <v>0.40647187995004247</v>
      </c>
      <c r="CR74" s="17">
        <f t="shared" si="137"/>
        <v>0.40647187995004247</v>
      </c>
      <c r="CS74" s="17">
        <f t="shared" si="137"/>
        <v>0.40647187995004247</v>
      </c>
      <c r="CT74" s="17">
        <f t="shared" si="137"/>
        <v>0.40647187995004247</v>
      </c>
      <c r="CU74" s="17">
        <f t="shared" si="137"/>
        <v>0.40647187995004247</v>
      </c>
      <c r="CV74" s="17">
        <f t="shared" si="137"/>
        <v>0.40647187995004247</v>
      </c>
      <c r="CW74" s="17">
        <f t="shared" si="137"/>
        <v>0.40647187995004247</v>
      </c>
      <c r="CX74" s="17">
        <f t="shared" si="137"/>
        <v>0.40647187995004247</v>
      </c>
      <c r="CY74" s="17">
        <f t="shared" si="137"/>
        <v>0.40647187995004247</v>
      </c>
      <c r="CZ74" s="17">
        <f t="shared" si="137"/>
        <v>0.40647187995004247</v>
      </c>
      <c r="DB74" s="33"/>
      <c r="DC74" s="21">
        <v>0.1</v>
      </c>
      <c r="DD74" s="17">
        <f>(DD75*$B$22-AN74)/($B$21-$B$22*BV75)</f>
        <v>178.05843601498725</v>
      </c>
      <c r="DE74" s="17">
        <f t="shared" ref="DE74:EH74" si="138">(DE75*$B$22-AO74)/($B$21-$B$22*BW75)</f>
        <v>174.17737200133607</v>
      </c>
      <c r="DF74" s="17">
        <f t="shared" si="138"/>
        <v>170.29547759631103</v>
      </c>
      <c r="DG74" s="17">
        <f t="shared" si="138"/>
        <v>166.41193150730865</v>
      </c>
      <c r="DH74" s="17">
        <f t="shared" si="138"/>
        <v>162.52593053954158</v>
      </c>
      <c r="DI74" s="17">
        <f t="shared" si="138"/>
        <v>158.63669839673068</v>
      </c>
      <c r="DJ74" s="17">
        <f t="shared" si="138"/>
        <v>154.74349418698816</v>
      </c>
      <c r="DK74" s="17">
        <f t="shared" si="138"/>
        <v>150.8456205406741</v>
      </c>
      <c r="DL74" s="17">
        <f t="shared" si="138"/>
        <v>146.94243125126326</v>
      </c>
      <c r="DM74" s="17">
        <f t="shared" si="138"/>
        <v>143.03333835549196</v>
      </c>
      <c r="DN74" s="17">
        <f t="shared" si="138"/>
        <v>139.11781857520657</v>
      </c>
      <c r="DO74" s="17">
        <f t="shared" si="138"/>
        <v>135.19541905033543</v>
      </c>
      <c r="DP74" s="17">
        <f t="shared" si="138"/>
        <v>131.2657623001796</v>
      </c>
      <c r="DQ74" s="17">
        <f t="shared" si="138"/>
        <v>127.32855035868063</v>
      </c>
      <c r="DR74" s="17">
        <f t="shared" si="138"/>
        <v>123.38356803838003</v>
      </c>
      <c r="DS74" s="17">
        <f t="shared" si="138"/>
        <v>119.43068528733642</v>
      </c>
      <c r="DT74" s="17">
        <f t="shared" si="138"/>
        <v>115.46985861320952</v>
      </c>
      <c r="DU74" s="17">
        <f t="shared" si="138"/>
        <v>111.50113155894267</v>
      </c>
      <c r="DV74" s="17">
        <f t="shared" si="138"/>
        <v>107.52463422486865</v>
      </c>
      <c r="DW74" s="17">
        <f t="shared" si="138"/>
        <v>103.54058184251102</v>
      </c>
      <c r="DX74" s="17">
        <f t="shared" si="138"/>
        <v>99.549272415740731</v>
      </c>
      <c r="DY74" s="17">
        <f t="shared" si="138"/>
        <v>95.551083455164218</v>
      </c>
      <c r="DZ74" s="17">
        <f t="shared" si="138"/>
        <v>91.546467841548719</v>
      </c>
      <c r="EA74" s="17">
        <f t="shared" si="138"/>
        <v>87.535948863626714</v>
      </c>
      <c r="EB74" s="17">
        <f t="shared" si="138"/>
        <v>83.52011448466196</v>
      </c>
      <c r="EC74" s="17">
        <f t="shared" si="138"/>
        <v>79.499610900600857</v>
      </c>
      <c r="ED74" s="17">
        <f t="shared" si="138"/>
        <v>75.475135460387705</v>
      </c>
      <c r="EE74" s="17">
        <f t="shared" si="138"/>
        <v>71.447429026002638</v>
      </c>
      <c r="EF74" s="17">
        <f t="shared" si="138"/>
        <v>67.417267855912442</v>
      </c>
      <c r="EG74" s="17">
        <f t="shared" si="138"/>
        <v>63.385455100839465</v>
      </c>
      <c r="EH74" s="17">
        <f t="shared" si="138"/>
        <v>59.352812004995762</v>
      </c>
    </row>
    <row r="75" spans="5:138" x14ac:dyDescent="0.25">
      <c r="E75" s="35"/>
      <c r="F75" s="21">
        <v>9.6666666666666679E-2</v>
      </c>
      <c r="G75" s="30">
        <f t="shared" ref="G75:G104" si="139">$B$16</f>
        <v>300</v>
      </c>
      <c r="H75" s="31">
        <f>BW75*H74+DE75</f>
        <v>293.46102450594111</v>
      </c>
      <c r="I75" s="31">
        <f t="shared" ref="I75:AJ75" si="140">BX75*I74+DF75</f>
        <v>286.92064996874257</v>
      </c>
      <c r="J75" s="31">
        <f t="shared" si="140"/>
        <v>280.37749267486981</v>
      </c>
      <c r="K75" s="31">
        <f t="shared" si="140"/>
        <v>273.83019940198261</v>
      </c>
      <c r="L75" s="31">
        <f t="shared" si="140"/>
        <v>267.27746224633813</v>
      </c>
      <c r="M75" s="31">
        <f t="shared" si="140"/>
        <v>260.71803295350014</v>
      </c>
      <c r="N75" s="31">
        <f t="shared" si="140"/>
        <v>254.1507365953006</v>
      </c>
      <c r="O75" s="31">
        <f t="shared" si="140"/>
        <v>247.57448444317009</v>
      </c>
      <c r="P75" s="31">
        <f t="shared" si="140"/>
        <v>240.98828589676714</v>
      </c>
      <c r="Q75" s="31">
        <f t="shared" si="140"/>
        <v>234.39125933720243</v>
      </c>
      <c r="R75" s="31">
        <f t="shared" si="140"/>
        <v>227.78264178594873</v>
      </c>
      <c r="S75" s="31">
        <f t="shared" si="140"/>
        <v>221.16179726362219</v>
      </c>
      <c r="T75" s="31">
        <f t="shared" si="140"/>
        <v>214.52822375708092</v>
      </c>
      <c r="U75" s="31">
        <f t="shared" si="140"/>
        <v>207.8815587185432</v>
      </c>
      <c r="V75" s="31">
        <f t="shared" si="140"/>
        <v>201.22158303652139</v>
      </c>
      <c r="W75" s="31">
        <f t="shared" si="140"/>
        <v>194.54822343511898</v>
      </c>
      <c r="X75" s="31">
        <f t="shared" si="140"/>
        <v>187.86155327546084</v>
      </c>
      <c r="Y75" s="31">
        <f t="shared" si="140"/>
        <v>181.16179175053787</v>
      </c>
      <c r="Z75" s="31">
        <f t="shared" si="140"/>
        <v>174.44930148234852</v>
      </c>
      <c r="AA75" s="31">
        <f t="shared" si="140"/>
        <v>167.72458454772044</v>
      </c>
      <c r="AB75" s="31">
        <f t="shared" si="140"/>
        <v>160.98827697640931</v>
      </c>
      <c r="AC75" s="31">
        <f t="shared" si="140"/>
        <v>154.24114178179889</v>
      </c>
      <c r="AD75" s="31">
        <f t="shared" si="140"/>
        <v>147.48406060059588</v>
      </c>
      <c r="AE75" s="31">
        <f t="shared" si="140"/>
        <v>140.718024033142</v>
      </c>
      <c r="AF75" s="31">
        <f t="shared" si="140"/>
        <v>133.94412079018926</v>
      </c>
      <c r="AG75" s="31">
        <f t="shared" si="140"/>
        <v>127.16352576504889</v>
      </c>
      <c r="AH75" s="31">
        <f t="shared" si="140"/>
        <v>120.37748716178524</v>
      </c>
      <c r="AI75" s="31">
        <f t="shared" si="140"/>
        <v>113.58731282045554</v>
      </c>
      <c r="AJ75" s="31">
        <f t="shared" si="140"/>
        <v>106.79435588918341</v>
      </c>
      <c r="AK75" s="30">
        <f t="shared" ref="AK75:AK104" si="141">$B$17</f>
        <v>100</v>
      </c>
      <c r="AL75" s="36"/>
      <c r="AM75" s="21">
        <v>9.6666666666666679E-2</v>
      </c>
      <c r="AN75" s="17">
        <f t="shared" ref="AN75:AN104" si="142">-($B$12*$B$11)/$B$8*G40</f>
        <v>-1076400000</v>
      </c>
      <c r="AO75" s="19">
        <f t="shared" ref="AO75:AO104" si="143">-($B$12*$B$11)/$B$8*H40</f>
        <v>-1052938174.4479971</v>
      </c>
      <c r="AP75" s="19">
        <f t="shared" ref="AP75:AP104" si="144">-($B$12*$B$11)/$B$8*I40</f>
        <v>-1029471328.9262255</v>
      </c>
      <c r="AQ75" s="19">
        <f t="shared" ref="AQ75:AQ104" si="145">-($B$12*$B$11)/$B$8*J40</f>
        <v>-1005994498.4697659</v>
      </c>
      <c r="AR75" s="19">
        <f t="shared" ref="AR75:AR104" si="146">-($B$12*$B$11)/$B$8*K40</f>
        <v>-982502827.52053416</v>
      </c>
      <c r="AS75" s="19">
        <f t="shared" ref="AS75:AS104" si="147">-($B$12*$B$11)/$B$8*L40</f>
        <v>-958991623.1301558</v>
      </c>
      <c r="AT75" s="19">
        <f t="shared" ref="AT75:AT104" si="148">-($B$12*$B$11)/$B$8*M40</f>
        <v>-935456406.38063252</v>
      </c>
      <c r="AU75" s="19">
        <f t="shared" ref="AU75:AU104" si="149">-($B$12*$B$11)/$B$8*N40</f>
        <v>-911892961.4592663</v>
      </c>
      <c r="AV75" s="19">
        <f t="shared" ref="AV75:AV104" si="150">-($B$12*$B$11)/$B$8*O40</f>
        <v>-888297381.85003686</v>
      </c>
      <c r="AW75" s="19">
        <f t="shared" ref="AW75:AW104" si="151">-($B$12*$B$11)/$B$8*P40</f>
        <v>-864666113.13525367</v>
      </c>
      <c r="AX75" s="19">
        <f t="shared" ref="AX75:AX104" si="152">-($B$12*$B$11)/$B$8*Q40</f>
        <v>-840995991.93850052</v>
      </c>
      <c r="AY75" s="19">
        <f t="shared" ref="AY75:AY104" si="153">-($B$12*$B$11)/$B$8*R40</f>
        <v>-817284280.58220303</v>
      </c>
      <c r="AZ75" s="19">
        <f t="shared" ref="AZ75:AZ104" si="154">-($B$12*$B$11)/$B$8*S40</f>
        <v>-793528697.08014679</v>
      </c>
      <c r="BA75" s="19">
        <f t="shared" ref="BA75:BA104" si="155">-($B$12*$B$11)/$B$8*T40</f>
        <v>-769727440.13643527</v>
      </c>
      <c r="BB75" s="19">
        <f t="shared" ref="BB75:BB104" si="156">-($B$12*$B$11)/$B$8*U40</f>
        <v>-745879208.87712109</v>
      </c>
      <c r="BC75" s="19">
        <f t="shared" ref="BC75:BC104" si="157">-($B$12*$B$11)/$B$8*V40</f>
        <v>-721983217.09848952</v>
      </c>
      <c r="BD75" s="19">
        <f t="shared" ref="BD75:BD104" si="158">-($B$12*$B$11)/$B$8*W40</f>
        <v>-698039201.87608039</v>
      </c>
      <c r="BE75" s="19">
        <f t="shared" ref="BE75:BE104" si="159">-($B$12*$B$11)/$B$8*X40</f>
        <v>-674047426.44033313</v>
      </c>
      <c r="BF75" s="19">
        <f t="shared" ref="BF75:BF104" si="160">-($B$12*$B$11)/$B$8*Y40</f>
        <v>-650008677.28756809</v>
      </c>
      <c r="BG75" s="19">
        <f t="shared" ref="BG75:BG104" si="161">-($B$12*$B$11)/$B$8*Z40</f>
        <v>-625924255.55817866</v>
      </c>
      <c r="BH75" s="19">
        <f t="shared" ref="BH75:BH104" si="162">-($B$12*$B$11)/$B$8*AA40</f>
        <v>-601795962.77670062</v>
      </c>
      <c r="BI75" s="19">
        <f t="shared" ref="BI75:BI104" si="163">-($B$12*$B$11)/$B$8*AB40</f>
        <v>-577626081.11018836</v>
      </c>
      <c r="BJ75" s="19">
        <f t="shared" ref="BJ75:BJ104" si="164">-($B$12*$B$11)/$B$8*AC40</f>
        <v>-553417348.3613553</v>
      </c>
      <c r="BK75" s="19">
        <f t="shared" ref="BK75:BK104" si="165">-($B$12*$B$11)/$B$8*AD40</f>
        <v>-529172927.97058445</v>
      </c>
      <c r="BL75" s="19">
        <f t="shared" ref="BL75:BL104" si="166">-($B$12*$B$11)/$B$8*AE40</f>
        <v>-504896374.35556638</v>
      </c>
      <c r="BM75" s="19">
        <f t="shared" ref="BM75:BM104" si="167">-($B$12*$B$11)/$B$8*AF40</f>
        <v>-480591593.96835512</v>
      </c>
      <c r="BN75" s="19">
        <f t="shared" ref="BN75:BN104" si="168">-($B$12*$B$11)/$B$8*AG40</f>
        <v>-456262802.49650919</v>
      </c>
      <c r="BO75" s="19">
        <f t="shared" ref="BO75:BO104" si="169">-($B$12*$B$11)/$B$8*AH40</f>
        <v>-431914478.67718631</v>
      </c>
      <c r="BP75" s="19">
        <f t="shared" ref="BP75:BP104" si="170">-($B$12*$B$11)/$B$8*AI40</f>
        <v>-407551315.23012239</v>
      </c>
      <c r="BQ75" s="19">
        <f t="shared" ref="BQ75:BQ104" si="171">-($B$12*$B$11)/$B$8*AJ40</f>
        <v>-383178167.44695598</v>
      </c>
      <c r="BR75" s="17">
        <f t="shared" ref="BR75:BR104" si="172">-($B$12*$B$11)/$B$8*AK40</f>
        <v>-358800000</v>
      </c>
      <c r="BT75" s="33"/>
      <c r="BU75" s="21">
        <v>9.6666666666666679E-2</v>
      </c>
      <c r="BV75" s="17">
        <f t="shared" ref="BV75:BV103" si="173">$B$20/($B$21-$B$22*BV76)</f>
        <v>0.40647187995004247</v>
      </c>
      <c r="BW75" s="19">
        <f t="shared" ref="BW75:BW103" si="174">$B$20/($B$21-$B$22*BW76)</f>
        <v>0.40647187995004247</v>
      </c>
      <c r="BX75" s="19">
        <f t="shared" ref="BX75:BX103" si="175">$B$20/($B$21-$B$22*BX76)</f>
        <v>0.40647187995004247</v>
      </c>
      <c r="BY75" s="19">
        <f t="shared" ref="BY75:BY103" si="176">$B$20/($B$21-$B$22*BY76)</f>
        <v>0.40647187995004247</v>
      </c>
      <c r="BZ75" s="19">
        <f t="shared" ref="BZ75:BZ103" si="177">$B$20/($B$21-$B$22*BZ76)</f>
        <v>0.40647187995004247</v>
      </c>
      <c r="CA75" s="19">
        <f t="shared" ref="CA75:CA103" si="178">$B$20/($B$21-$B$22*CA76)</f>
        <v>0.40647187995004247</v>
      </c>
      <c r="CB75" s="19">
        <f t="shared" ref="CB75:CB103" si="179">$B$20/($B$21-$B$22*CB76)</f>
        <v>0.40647187995004247</v>
      </c>
      <c r="CC75" s="19">
        <f t="shared" ref="CC75:CC103" si="180">$B$20/($B$21-$B$22*CC76)</f>
        <v>0.40647187995004247</v>
      </c>
      <c r="CD75" s="19">
        <f t="shared" ref="CD75:CD103" si="181">$B$20/($B$21-$B$22*CD76)</f>
        <v>0.40647187995004247</v>
      </c>
      <c r="CE75" s="19">
        <f t="shared" ref="CE75:CE103" si="182">$B$20/($B$21-$B$22*CE76)</f>
        <v>0.40647187995004247</v>
      </c>
      <c r="CF75" s="19">
        <f t="shared" ref="CF75:CF103" si="183">$B$20/($B$21-$B$22*CF76)</f>
        <v>0.40647187995004247</v>
      </c>
      <c r="CG75" s="19">
        <f t="shared" ref="CG75:CG103" si="184">$B$20/($B$21-$B$22*CG76)</f>
        <v>0.40647187995004247</v>
      </c>
      <c r="CH75" s="19">
        <f t="shared" ref="CH75:CH103" si="185">$B$20/($B$21-$B$22*CH76)</f>
        <v>0.40647187995004247</v>
      </c>
      <c r="CI75" s="19">
        <f t="shared" ref="CI75:CI103" si="186">$B$20/($B$21-$B$22*CI76)</f>
        <v>0.40647187995004247</v>
      </c>
      <c r="CJ75" s="19">
        <f t="shared" ref="CJ75:CJ103" si="187">$B$20/($B$21-$B$22*CJ76)</f>
        <v>0.40647187995004247</v>
      </c>
      <c r="CK75" s="19">
        <f t="shared" ref="CK75:CK103" si="188">$B$20/($B$21-$B$22*CK76)</f>
        <v>0.40647187995004247</v>
      </c>
      <c r="CL75" s="19">
        <f t="shared" ref="CL75:CL103" si="189">$B$20/($B$21-$B$22*CL76)</f>
        <v>0.40647187995004247</v>
      </c>
      <c r="CM75" s="19">
        <f t="shared" ref="CM75:CM103" si="190">$B$20/($B$21-$B$22*CM76)</f>
        <v>0.40647187995004247</v>
      </c>
      <c r="CN75" s="19">
        <f t="shared" ref="CN75:CN103" si="191">$B$20/($B$21-$B$22*CN76)</f>
        <v>0.40647187995004247</v>
      </c>
      <c r="CO75" s="19">
        <f t="shared" ref="CO75:CO103" si="192">$B$20/($B$21-$B$22*CO76)</f>
        <v>0.40647187995004247</v>
      </c>
      <c r="CP75" s="19">
        <f t="shared" ref="CP75:CP103" si="193">$B$20/($B$21-$B$22*CP76)</f>
        <v>0.40647187995004247</v>
      </c>
      <c r="CQ75" s="19">
        <f t="shared" ref="CQ75:CQ103" si="194">$B$20/($B$21-$B$22*CQ76)</f>
        <v>0.40647187995004247</v>
      </c>
      <c r="CR75" s="19">
        <f t="shared" ref="CR75:CR103" si="195">$B$20/($B$21-$B$22*CR76)</f>
        <v>0.40647187995004247</v>
      </c>
      <c r="CS75" s="19">
        <f t="shared" ref="CS75:CS103" si="196">$B$20/($B$21-$B$22*CS76)</f>
        <v>0.40647187995004247</v>
      </c>
      <c r="CT75" s="19">
        <f t="shared" ref="CT75:CT103" si="197">$B$20/($B$21-$B$22*CT76)</f>
        <v>0.40647187995004247</v>
      </c>
      <c r="CU75" s="19">
        <f t="shared" ref="CU75:CU103" si="198">$B$20/($B$21-$B$22*CU76)</f>
        <v>0.40647187995004247</v>
      </c>
      <c r="CV75" s="19">
        <f t="shared" ref="CV75:CV103" si="199">$B$20/($B$21-$B$22*CV76)</f>
        <v>0.40647187995004247</v>
      </c>
      <c r="CW75" s="19">
        <f t="shared" ref="CW75:CW103" si="200">$B$20/($B$21-$B$22*CW76)</f>
        <v>0.40647187995004247</v>
      </c>
      <c r="CX75" s="19">
        <f t="shared" ref="CX75:CX103" si="201">$B$20/($B$21-$B$22*CX76)</f>
        <v>0.40647187995004247</v>
      </c>
      <c r="CY75" s="19">
        <f t="shared" ref="CY75:CY103" si="202">$B$20/($B$21-$B$22*CY76)</f>
        <v>0.40647187995004247</v>
      </c>
      <c r="CZ75" s="17">
        <f t="shared" ref="CZ75:CZ103" si="203">$B$20/($B$21-$B$22*CZ76)</f>
        <v>0.40647187995004247</v>
      </c>
      <c r="DB75" s="33"/>
      <c r="DC75" s="21">
        <v>9.6666666666666679E-2</v>
      </c>
      <c r="DD75" s="17">
        <f t="shared" ref="DD75:DD103" si="204">(DD76*$B$22-AN75)/($B$21-$B$22*BV76)</f>
        <v>178.05843601498725</v>
      </c>
      <c r="DE75" s="19">
        <f t="shared" ref="DE75:DE103" si="205">(DE76*$B$22-AO75)/($B$21-$B$22*BW76)</f>
        <v>174.17737018294577</v>
      </c>
      <c r="DF75" s="19">
        <f t="shared" ref="DF75:DF103" si="206">(DF76*$B$22-AP75)/($B$21-$B$22*BX76)</f>
        <v>170.2954739794597</v>
      </c>
      <c r="DG75" s="19">
        <f t="shared" ref="DG75:DG103" si="207">(DG76*$B$22-AQ75)/($B$21-$B$22*BY76)</f>
        <v>166.41192613163622</v>
      </c>
      <c r="DH75" s="19">
        <f t="shared" ref="DH75:DH103" si="208">(DH76*$B$22-AR75)/($B$21-$B$22*BZ76)</f>
        <v>162.52592346396375</v>
      </c>
      <c r="DI75" s="19">
        <f t="shared" ref="DI75:DI103" si="209">(DI76*$B$22-AS75)/($B$21-$B$22*CA76)</f>
        <v>158.63668969879259</v>
      </c>
      <c r="DJ75" s="19">
        <f t="shared" ref="DJ75:DJ103" si="210">(DJ76*$B$22-AT75)/($B$21-$B$22*CB76)</f>
        <v>154.74348396201381</v>
      </c>
      <c r="DK75" s="19">
        <f t="shared" ref="DK75:DK103" si="211">(DK76*$B$22-AU75)/($B$21-$B$22*CC76)</f>
        <v>150.84560890072072</v>
      </c>
      <c r="DL75" s="19">
        <f t="shared" ref="DL75:DL103" si="212">(DL76*$B$22-AV75)/($B$21-$B$22*CD76)</f>
        <v>146.94241832389221</v>
      </c>
      <c r="DM75" s="19">
        <f t="shared" ref="DM75:DM103" si="213">(DM76*$B$22-AW75)/($B$21-$B$22*CE76)</f>
        <v>143.0333242823699</v>
      </c>
      <c r="DN75" s="19">
        <f t="shared" ref="DN75:DN103" si="214">(DN76*$B$22-AX75)/($B$21-$B$22*CF76)</f>
        <v>139.11780351055182</v>
      </c>
      <c r="DO75" s="19">
        <f t="shared" ref="DO75:DO103" si="215">(DO76*$B$22-AY75)/($B$21-$B$22*CG76)</f>
        <v>135.19540315922706</v>
      </c>
      <c r="DP75" s="19">
        <f t="shared" ref="DP75:DP103" si="216">(DP76*$B$22-AZ75)/($B$21-$B$22*CH76)</f>
        <v>131.26574575674752</v>
      </c>
      <c r="DQ75" s="19">
        <f t="shared" ref="DQ75:DQ103" si="217">(DQ76*$B$22-BA75)/($B$21-$B$22*CI76)</f>
        <v>127.32853334419688</v>
      </c>
      <c r="DR75" s="19">
        <f t="shared" ref="DR75:DR103" si="218">(DR76*$B$22-BB75)/($B$21-$B$22*CJ76)</f>
        <v>123.3835507392718</v>
      </c>
      <c r="DS75" s="19">
        <f t="shared" ref="DS75:DS103" si="219">(DS76*$B$22-BC75)/($B$21-$B$22*CK76)</f>
        <v>119.43066789314298</v>
      </c>
      <c r="DT75" s="19">
        <f t="shared" ref="DT75:DT103" si="220">(DT76*$B$22-BD75)/($B$21-$B$22*CL76)</f>
        <v>115.46984131450526</v>
      </c>
      <c r="DU75" s="19">
        <f t="shared" ref="DU75:DU103" si="221">(DU76*$B$22-BE75)/($B$21-$B$22*CM76)</f>
        <v>111.50111454524921</v>
      </c>
      <c r="DV75" s="19">
        <f t="shared" ref="DV75:DV103" si="222">(DV76*$B$22-BF75)/($B$21-$B$22*CN76)</f>
        <v>107.52461768257866</v>
      </c>
      <c r="DW75" s="19">
        <f t="shared" ref="DW75:DW103" si="223">(DW76*$B$22-BG75)/($B$21-$B$22*CO76)</f>
        <v>103.54056595284658</v>
      </c>
      <c r="DX75" s="19">
        <f t="shared" ref="DX75:DX103" si="224">(DX76*$B$22-BH75)/($B$21-$B$22*CP76)</f>
        <v>99.549257352768677</v>
      </c>
      <c r="DY75" s="19">
        <f t="shared" ref="DY75:DY103" si="225">(DY76*$B$22-BI75)/($B$21-$B$22*CQ76)</f>
        <v>95.551069383890081</v>
      </c>
      <c r="DZ75" s="19">
        <f t="shared" ref="DZ75:DZ103" si="226">(DZ76*$B$22-BJ75)/($B$21-$B$22*CR76)</f>
        <v>91.546454916110065</v>
      </c>
      <c r="EA75" s="19">
        <f t="shared" ref="EA75:EA103" si="227">(EA76*$B$22-BK75)/($B$21-$B$22*CS76)</f>
        <v>87.535937225605693</v>
      </c>
      <c r="EB75" s="19">
        <f t="shared" ref="EB75:EB103" si="228">(EB76*$B$22-BL75)/($B$21-$B$22*CT76)</f>
        <v>83.520104261535522</v>
      </c>
      <c r="EC75" s="19">
        <f t="shared" ref="EC75:EC103" si="229">(EC76*$B$22-BM75)/($B$21-$B$22*CU76)</f>
        <v>79.499602204345464</v>
      </c>
      <c r="ED75" s="19">
        <f t="shared" ref="ED75:ED103" si="230">(ED76*$B$22-BN75)/($B$21-$B$22*CV76)</f>
        <v>75.475128386253814</v>
      </c>
      <c r="EE75" s="19">
        <f t="shared" ref="EE75:EE103" si="231">(EE76*$B$22-BO75)/($B$21-$B$22*CW76)</f>
        <v>71.447423651472292</v>
      </c>
      <c r="EF75" s="19">
        <f t="shared" ref="EF75:EF103" si="232">(EF76*$B$22-BP75)/($B$21-$B$22*CX76)</f>
        <v>67.41726423985142</v>
      </c>
      <c r="EG75" s="19">
        <f t="shared" ref="EG75:EG103" si="233">(EG76*$B$22-BQ75)/($B$21-$B$22*CY76)</f>
        <v>63.385453282853142</v>
      </c>
      <c r="EH75" s="17">
        <f t="shared" ref="EH75:EH103" si="234">(EH76*$B$22-BR75)/($B$21-$B$22*CZ76)</f>
        <v>59.352812004995762</v>
      </c>
    </row>
    <row r="76" spans="5:138" x14ac:dyDescent="0.25">
      <c r="E76" s="35"/>
      <c r="F76" s="21">
        <v>9.3333333333333338E-2</v>
      </c>
      <c r="G76" s="30">
        <f t="shared" si="139"/>
        <v>300</v>
      </c>
      <c r="H76" s="31">
        <f t="shared" ref="H76:H104" si="235">BW76*H75+DE76</f>
        <v>293.46102003234682</v>
      </c>
      <c r="I76" s="31">
        <f t="shared" ref="I76:I104" si="236">BX76*I75+DF76</f>
        <v>286.92064107058383</v>
      </c>
      <c r="J76" s="31">
        <f t="shared" ref="J76:J104" si="237">BY76*J75+DG76</f>
        <v>280.37747944966856</v>
      </c>
      <c r="K76" s="31">
        <f t="shared" ref="K76:K104" si="238">BZ76*K75+DH76</f>
        <v>273.83018199468296</v>
      </c>
      <c r="L76" s="31">
        <f t="shared" ref="L76:L104" si="239">CA76*L75+DI76</f>
        <v>267.27744084771621</v>
      </c>
      <c r="M76" s="31">
        <f t="shared" ref="M76:M104" si="240">CB76*M75+DJ76</f>
        <v>260.71800779807154</v>
      </c>
      <c r="N76" s="31">
        <f t="shared" ref="N76:N104" si="241">CC76*N75+DK76</f>
        <v>254.15070795874794</v>
      </c>
      <c r="O76" s="31">
        <f t="shared" ref="O76:O104" si="242">CD76*O75+DL76</f>
        <v>247.57445263931925</v>
      </c>
      <c r="P76" s="31">
        <f t="shared" ref="P76:P104" si="243">CE76*P75+DM76</f>
        <v>240.98825127414563</v>
      </c>
      <c r="Q76" s="31">
        <f t="shared" ref="Q76:Q104" si="244">CF76*Q75+DN76</f>
        <v>234.39122227521733</v>
      </c>
      <c r="R76" s="31">
        <f t="shared" ref="R76:R104" si="245">CG76*R75+DO76</f>
        <v>227.78260269072672</v>
      </c>
      <c r="S76" s="31">
        <f t="shared" ref="S76:S104" si="246">CH76*S75+DP76</f>
        <v>221.16175656355685</v>
      </c>
      <c r="T76" s="31">
        <f t="shared" ref="T76:T104" si="247">CI76*T75+DQ76</f>
        <v>214.52818189813672</v>
      </c>
      <c r="U76" s="31">
        <f t="shared" ref="U76:U104" si="248">CJ76*U75+DR76</f>
        <v>207.88151615936729</v>
      </c>
      <c r="V76" s="31">
        <f t="shared" ref="V76:V104" si="249">CK76*V75+DS76</f>
        <v>201.22154024341737</v>
      </c>
      <c r="W76" s="31">
        <f t="shared" ref="W76:W104" si="250">CL76*W75+DT76</f>
        <v>194.54818087693695</v>
      </c>
      <c r="X76" s="31">
        <f t="shared" ref="X76:X104" si="251">CM76*X75+DU76</f>
        <v>187.86151141846091</v>
      </c>
      <c r="Y76" s="31">
        <f t="shared" ref="Y76:Y104" si="252">CN76*Y75+DV76</f>
        <v>181.16175105328227</v>
      </c>
      <c r="Z76" s="31">
        <f t="shared" ref="Z76:Z104" si="253">CO76*Z75+DW76</f>
        <v>174.44926239067888</v>
      </c>
      <c r="AA76" s="31">
        <f t="shared" ref="AA76:AA104" si="254">CP76*AA75+DX76</f>
        <v>167.72454748987511</v>
      </c>
      <c r="AB76" s="31">
        <f t="shared" ref="AB76:AB104" si="255">CQ76*AB75+DY76</f>
        <v>160.98824235833399</v>
      </c>
      <c r="AC76" s="31">
        <f t="shared" ref="AC76:AC104" si="256">CR76*AC75+DZ76</f>
        <v>154.24110998270203</v>
      </c>
      <c r="AD76" s="31">
        <f t="shared" ref="AD76:AD104" si="257">CS76*AD75+EA76</f>
        <v>147.48403196879721</v>
      </c>
      <c r="AE76" s="31">
        <f t="shared" ref="AE76:AE104" si="258">CT76*AE75+EB76</f>
        <v>140.71799888225965</v>
      </c>
      <c r="AF76" s="31">
        <f t="shared" ref="AF76:AF104" si="259">CU76*AF75+EC76</f>
        <v>133.9440993957071</v>
      </c>
      <c r="AG76" s="31">
        <f t="shared" ref="AG76:AG104" si="260">CV76*AG75+ED76</f>
        <v>127.16350836130158</v>
      </c>
      <c r="AH76" s="31">
        <f t="shared" ref="AH76:AH104" si="261">CW76*AH75+EE76</f>
        <v>120.37747393939371</v>
      </c>
      <c r="AI76" s="31">
        <f t="shared" ref="AI76:AI104" si="262">CX76*AI75+EF76</f>
        <v>113.58730392424107</v>
      </c>
      <c r="AJ76" s="31">
        <f t="shared" ref="AJ76:AJ104" si="263">CY76*AJ75+EG76</f>
        <v>106.79435141658294</v>
      </c>
      <c r="AK76" s="30">
        <f t="shared" si="141"/>
        <v>100</v>
      </c>
      <c r="AL76" s="36"/>
      <c r="AM76" s="21">
        <v>9.3333333333333338E-2</v>
      </c>
      <c r="AN76" s="17">
        <f t="shared" si="142"/>
        <v>-1076400000</v>
      </c>
      <c r="AO76" s="19">
        <f t="shared" si="143"/>
        <v>-1052938158.1795706</v>
      </c>
      <c r="AP76" s="19">
        <f t="shared" si="144"/>
        <v>-1029471296.567672</v>
      </c>
      <c r="AQ76" s="19">
        <f t="shared" si="145"/>
        <v>-1005994450.375728</v>
      </c>
      <c r="AR76" s="19">
        <f t="shared" si="146"/>
        <v>-982502764.21810758</v>
      </c>
      <c r="AS76" s="19">
        <f t="shared" si="147"/>
        <v>-958991545.31310666</v>
      </c>
      <c r="AT76" s="19">
        <f t="shared" si="148"/>
        <v>-935456314.90178716</v>
      </c>
      <c r="AU76" s="19">
        <f t="shared" si="149"/>
        <v>-911892857.3211571</v>
      </c>
      <c r="AV76" s="19">
        <f t="shared" si="150"/>
        <v>-888297266.19390535</v>
      </c>
      <c r="AW76" s="19">
        <f t="shared" si="151"/>
        <v>-864665987.22853589</v>
      </c>
      <c r="AX76" s="19">
        <f t="shared" si="152"/>
        <v>-840995857.16092789</v>
      </c>
      <c r="AY76" s="19">
        <f t="shared" si="153"/>
        <v>-817284138.41067314</v>
      </c>
      <c r="AZ76" s="19">
        <f t="shared" si="154"/>
        <v>-793528549.07253194</v>
      </c>
      <c r="BA76" s="19">
        <f t="shared" si="155"/>
        <v>-769727287.91450548</v>
      </c>
      <c r="BB76" s="19">
        <f t="shared" si="156"/>
        <v>-745879054.10876727</v>
      </c>
      <c r="BC76" s="19">
        <f t="shared" si="157"/>
        <v>-721983061.47944558</v>
      </c>
      <c r="BD76" s="19">
        <f t="shared" si="158"/>
        <v>-698039047.11134088</v>
      </c>
      <c r="BE76" s="19">
        <f t="shared" si="159"/>
        <v>-674047274.22547364</v>
      </c>
      <c r="BF76" s="19">
        <f t="shared" si="160"/>
        <v>-650008529.29017103</v>
      </c>
      <c r="BG76" s="19">
        <f t="shared" si="161"/>
        <v>-625924113.39956713</v>
      </c>
      <c r="BH76" s="19">
        <f t="shared" si="162"/>
        <v>-601795828.01418245</v>
      </c>
      <c r="BI76" s="19">
        <f t="shared" si="163"/>
        <v>-577625955.22000349</v>
      </c>
      <c r="BJ76" s="19">
        <f t="shared" si="164"/>
        <v>-553417232.72251213</v>
      </c>
      <c r="BK76" s="19">
        <f t="shared" si="165"/>
        <v>-529172823.84976333</v>
      </c>
      <c r="BL76" s="19">
        <f t="shared" si="166"/>
        <v>-504896282.8932538</v>
      </c>
      <c r="BM76" s="19">
        <f t="shared" si="167"/>
        <v>-480591516.16636038</v>
      </c>
      <c r="BN76" s="19">
        <f t="shared" si="168"/>
        <v>-456262739.20700079</v>
      </c>
      <c r="BO76" s="19">
        <f t="shared" si="169"/>
        <v>-431914430.59336597</v>
      </c>
      <c r="BP76" s="19">
        <f t="shared" si="170"/>
        <v>-407551282.8786391</v>
      </c>
      <c r="BQ76" s="19">
        <f t="shared" si="171"/>
        <v>-383178151.18214363</v>
      </c>
      <c r="BR76" s="17">
        <f t="shared" si="172"/>
        <v>-358800000</v>
      </c>
      <c r="BT76" s="33"/>
      <c r="BU76" s="21">
        <v>9.3333333333333338E-2</v>
      </c>
      <c r="BV76" s="17">
        <f t="shared" si="173"/>
        <v>0.40647187995004247</v>
      </c>
      <c r="BW76" s="19">
        <f t="shared" si="174"/>
        <v>0.40647187995004247</v>
      </c>
      <c r="BX76" s="19">
        <f t="shared" si="175"/>
        <v>0.40647187995004247</v>
      </c>
      <c r="BY76" s="19">
        <f t="shared" si="176"/>
        <v>0.40647187995004247</v>
      </c>
      <c r="BZ76" s="19">
        <f t="shared" si="177"/>
        <v>0.40647187995004247</v>
      </c>
      <c r="CA76" s="19">
        <f t="shared" si="178"/>
        <v>0.40647187995004247</v>
      </c>
      <c r="CB76" s="19">
        <f t="shared" si="179"/>
        <v>0.40647187995004247</v>
      </c>
      <c r="CC76" s="19">
        <f t="shared" si="180"/>
        <v>0.40647187995004247</v>
      </c>
      <c r="CD76" s="19">
        <f t="shared" si="181"/>
        <v>0.40647187995004247</v>
      </c>
      <c r="CE76" s="19">
        <f t="shared" si="182"/>
        <v>0.40647187995004247</v>
      </c>
      <c r="CF76" s="19">
        <f t="shared" si="183"/>
        <v>0.40647187995004247</v>
      </c>
      <c r="CG76" s="19">
        <f t="shared" si="184"/>
        <v>0.40647187995004247</v>
      </c>
      <c r="CH76" s="19">
        <f t="shared" si="185"/>
        <v>0.40647187995004247</v>
      </c>
      <c r="CI76" s="19">
        <f t="shared" si="186"/>
        <v>0.40647187995004247</v>
      </c>
      <c r="CJ76" s="19">
        <f t="shared" si="187"/>
        <v>0.40647187995004247</v>
      </c>
      <c r="CK76" s="19">
        <f t="shared" si="188"/>
        <v>0.40647187995004247</v>
      </c>
      <c r="CL76" s="19">
        <f t="shared" si="189"/>
        <v>0.40647187995004247</v>
      </c>
      <c r="CM76" s="19">
        <f t="shared" si="190"/>
        <v>0.40647187995004247</v>
      </c>
      <c r="CN76" s="19">
        <f t="shared" si="191"/>
        <v>0.40647187995004247</v>
      </c>
      <c r="CO76" s="19">
        <f t="shared" si="192"/>
        <v>0.40647187995004247</v>
      </c>
      <c r="CP76" s="19">
        <f t="shared" si="193"/>
        <v>0.40647187995004247</v>
      </c>
      <c r="CQ76" s="19">
        <f t="shared" si="194"/>
        <v>0.40647187995004247</v>
      </c>
      <c r="CR76" s="19">
        <f t="shared" si="195"/>
        <v>0.40647187995004247</v>
      </c>
      <c r="CS76" s="19">
        <f t="shared" si="196"/>
        <v>0.40647187995004247</v>
      </c>
      <c r="CT76" s="19">
        <f t="shared" si="197"/>
        <v>0.40647187995004247</v>
      </c>
      <c r="CU76" s="19">
        <f t="shared" si="198"/>
        <v>0.40647187995004247</v>
      </c>
      <c r="CV76" s="19">
        <f t="shared" si="199"/>
        <v>0.40647187995004247</v>
      </c>
      <c r="CW76" s="19">
        <f t="shared" si="200"/>
        <v>0.40647187995004247</v>
      </c>
      <c r="CX76" s="19">
        <f t="shared" si="201"/>
        <v>0.40647187995004247</v>
      </c>
      <c r="CY76" s="19">
        <f t="shared" si="202"/>
        <v>0.40647187995004247</v>
      </c>
      <c r="CZ76" s="17">
        <f t="shared" si="203"/>
        <v>0.40647187995004247</v>
      </c>
      <c r="DB76" s="33"/>
      <c r="DC76" s="21">
        <v>9.3333333333333338E-2</v>
      </c>
      <c r="DD76" s="17">
        <f t="shared" si="204"/>
        <v>178.05843601498725</v>
      </c>
      <c r="DE76" s="19">
        <f t="shared" si="205"/>
        <v>174.17736570935145</v>
      </c>
      <c r="DF76" s="19">
        <f t="shared" si="206"/>
        <v>170.29546508130096</v>
      </c>
      <c r="DG76" s="19">
        <f t="shared" si="207"/>
        <v>166.41191290643496</v>
      </c>
      <c r="DH76" s="19">
        <f t="shared" si="208"/>
        <v>162.5259060566641</v>
      </c>
      <c r="DI76" s="19">
        <f t="shared" si="209"/>
        <v>158.63666830017067</v>
      </c>
      <c r="DJ76" s="19">
        <f t="shared" si="210"/>
        <v>154.74345880658521</v>
      </c>
      <c r="DK76" s="19">
        <f t="shared" si="211"/>
        <v>150.84558026416806</v>
      </c>
      <c r="DL76" s="19">
        <f t="shared" si="212"/>
        <v>146.94238652004137</v>
      </c>
      <c r="DM76" s="19">
        <f t="shared" si="213"/>
        <v>143.03328965974836</v>
      </c>
      <c r="DN76" s="19">
        <f t="shared" si="214"/>
        <v>139.1177664485667</v>
      </c>
      <c r="DO76" s="19">
        <f t="shared" si="215"/>
        <v>135.19536406400505</v>
      </c>
      <c r="DP76" s="19">
        <f t="shared" si="216"/>
        <v>131.26570505668218</v>
      </c>
      <c r="DQ76" s="19">
        <f t="shared" si="217"/>
        <v>127.32849148525267</v>
      </c>
      <c r="DR76" s="19">
        <f t="shared" si="218"/>
        <v>123.3835081800959</v>
      </c>
      <c r="DS76" s="19">
        <f t="shared" si="219"/>
        <v>119.43062510003894</v>
      </c>
      <c r="DT76" s="19">
        <f t="shared" si="220"/>
        <v>115.46979875632321</v>
      </c>
      <c r="DU76" s="19">
        <f t="shared" si="221"/>
        <v>111.50107268824927</v>
      </c>
      <c r="DV76" s="19">
        <f t="shared" si="222"/>
        <v>107.52457698532305</v>
      </c>
      <c r="DW76" s="19">
        <f t="shared" si="223"/>
        <v>103.54052686117693</v>
      </c>
      <c r="DX76" s="19">
        <f t="shared" si="224"/>
        <v>99.54922029492333</v>
      </c>
      <c r="DY76" s="19">
        <f t="shared" si="225"/>
        <v>95.551034765814748</v>
      </c>
      <c r="DZ76" s="19">
        <f t="shared" si="226"/>
        <v>91.546423117013205</v>
      </c>
      <c r="EA76" s="19">
        <f t="shared" si="227"/>
        <v>87.535908593807022</v>
      </c>
      <c r="EB76" s="19">
        <f t="shared" si="228"/>
        <v>83.520079110653171</v>
      </c>
      <c r="EC76" s="19">
        <f t="shared" si="229"/>
        <v>79.499580809863303</v>
      </c>
      <c r="ED76" s="19">
        <f t="shared" si="230"/>
        <v>75.475110982506493</v>
      </c>
      <c r="EE76" s="19">
        <f t="shared" si="231"/>
        <v>71.447410429080762</v>
      </c>
      <c r="EF76" s="19">
        <f t="shared" si="232"/>
        <v>67.417255343636938</v>
      </c>
      <c r="EG76" s="19">
        <f t="shared" si="233"/>
        <v>63.385448810252669</v>
      </c>
      <c r="EH76" s="17">
        <f t="shared" si="234"/>
        <v>59.352812004995762</v>
      </c>
    </row>
    <row r="77" spans="5:138" x14ac:dyDescent="0.25">
      <c r="E77" s="35"/>
      <c r="F77" s="21">
        <v>9.0000000000000011E-2</v>
      </c>
      <c r="G77" s="30">
        <f t="shared" si="139"/>
        <v>300</v>
      </c>
      <c r="H77" s="31">
        <f t="shared" si="235"/>
        <v>293.46101113761472</v>
      </c>
      <c r="I77" s="31">
        <f t="shared" si="236"/>
        <v>286.92062337860449</v>
      </c>
      <c r="J77" s="31">
        <f t="shared" si="237"/>
        <v>280.37745315434233</v>
      </c>
      <c r="K77" s="31">
        <f t="shared" si="238"/>
        <v>273.83014738419848</v>
      </c>
      <c r="L77" s="31">
        <f t="shared" si="239"/>
        <v>267.27739830138876</v>
      </c>
      <c r="M77" s="31">
        <f t="shared" si="240"/>
        <v>260.7179577821824</v>
      </c>
      <c r="N77" s="31">
        <f t="shared" si="241"/>
        <v>254.15065102142967</v>
      </c>
      <c r="O77" s="31">
        <f t="shared" si="242"/>
        <v>247.57438940454381</v>
      </c>
      <c r="P77" s="31">
        <f t="shared" si="243"/>
        <v>240.9881824348812</v>
      </c>
      <c r="Q77" s="31">
        <f t="shared" si="244"/>
        <v>234.39114858582928</v>
      </c>
      <c r="R77" s="31">
        <f t="shared" si="245"/>
        <v>227.78252495870623</v>
      </c>
      <c r="S77" s="31">
        <f t="shared" si="246"/>
        <v>221.1616756406678</v>
      </c>
      <c r="T77" s="31">
        <f t="shared" si="247"/>
        <v>214.52809867107874</v>
      </c>
      <c r="U77" s="31">
        <f t="shared" si="248"/>
        <v>207.88143154005672</v>
      </c>
      <c r="V77" s="31">
        <f t="shared" si="249"/>
        <v>201.22145515899342</v>
      </c>
      <c r="W77" s="31">
        <f t="shared" si="250"/>
        <v>194.54809625960243</v>
      </c>
      <c r="X77" s="31">
        <f t="shared" si="251"/>
        <v>187.86142819526867</v>
      </c>
      <c r="Y77" s="31">
        <f t="shared" si="252"/>
        <v>181.16167013597973</v>
      </c>
      <c r="Z77" s="31">
        <f t="shared" si="253"/>
        <v>174.44918466572142</v>
      </c>
      <c r="AA77" s="31">
        <f t="shared" si="254"/>
        <v>167.72447380871802</v>
      </c>
      <c r="AB77" s="31">
        <f t="shared" si="255"/>
        <v>160.98817352810863</v>
      </c>
      <c r="AC77" s="31">
        <f t="shared" si="256"/>
        <v>154.24104675737877</v>
      </c>
      <c r="AD77" s="31">
        <f t="shared" si="257"/>
        <v>147.48397504093114</v>
      </c>
      <c r="AE77" s="31">
        <f t="shared" si="258"/>
        <v>140.71794887540963</v>
      </c>
      <c r="AF77" s="31">
        <f t="shared" si="259"/>
        <v>133.9440568576106</v>
      </c>
      <c r="AG77" s="31">
        <f t="shared" si="260"/>
        <v>127.16347375788014</v>
      </c>
      <c r="AH77" s="31">
        <f t="shared" si="261"/>
        <v>120.37744764965399</v>
      </c>
      <c r="AI77" s="31">
        <f t="shared" si="262"/>
        <v>113.58728623612748</v>
      </c>
      <c r="AJ77" s="31">
        <f t="shared" si="263"/>
        <v>106.79434252382687</v>
      </c>
      <c r="AK77" s="30">
        <f t="shared" si="141"/>
        <v>100</v>
      </c>
      <c r="AL77" s="36"/>
      <c r="AM77" s="21">
        <v>9.0000000000000011E-2</v>
      </c>
      <c r="AN77" s="17">
        <f t="shared" si="142"/>
        <v>-1076400000</v>
      </c>
      <c r="AO77" s="19">
        <f t="shared" si="143"/>
        <v>-1052938125.8334792</v>
      </c>
      <c r="AP77" s="19">
        <f t="shared" si="144"/>
        <v>-1029471232.229997</v>
      </c>
      <c r="AQ77" s="19">
        <f t="shared" si="145"/>
        <v>-1005994354.751597</v>
      </c>
      <c r="AR77" s="19">
        <f t="shared" si="146"/>
        <v>-982502638.35553133</v>
      </c>
      <c r="AS77" s="19">
        <f t="shared" si="147"/>
        <v>-958991390.59148228</v>
      </c>
      <c r="AT77" s="19">
        <f t="shared" si="148"/>
        <v>-935456133.01676738</v>
      </c>
      <c r="AU77" s="19">
        <f t="shared" si="149"/>
        <v>-911892650.26605046</v>
      </c>
      <c r="AV77" s="19">
        <f t="shared" si="150"/>
        <v>-888297036.23781383</v>
      </c>
      <c r="AW77" s="19">
        <f t="shared" si="151"/>
        <v>-864665736.89146936</v>
      </c>
      <c r="AX77" s="19">
        <f t="shared" si="152"/>
        <v>-840995589.18616962</v>
      </c>
      <c r="AY77" s="19">
        <f t="shared" si="153"/>
        <v>-817283855.73470104</v>
      </c>
      <c r="AZ77" s="19">
        <f t="shared" si="154"/>
        <v>-793528254.79282367</v>
      </c>
      <c r="BA77" s="19">
        <f t="shared" si="155"/>
        <v>-769726985.25558352</v>
      </c>
      <c r="BB77" s="19">
        <f t="shared" si="156"/>
        <v>-745878746.38685656</v>
      </c>
      <c r="BC77" s="19">
        <f t="shared" si="157"/>
        <v>-721982752.06612933</v>
      </c>
      <c r="BD77" s="19">
        <f t="shared" si="158"/>
        <v>-698038739.39661622</v>
      </c>
      <c r="BE77" s="19">
        <f t="shared" si="159"/>
        <v>-674046971.5806098</v>
      </c>
      <c r="BF77" s="19">
        <f t="shared" si="160"/>
        <v>-650008235.03077829</v>
      </c>
      <c r="BG77" s="19">
        <f t="shared" si="161"/>
        <v>-625923830.74928033</v>
      </c>
      <c r="BH77" s="19">
        <f t="shared" si="162"/>
        <v>-601795560.06935656</v>
      </c>
      <c r="BI77" s="19">
        <f t="shared" si="163"/>
        <v>-577625704.91580784</v>
      </c>
      <c r="BJ77" s="19">
        <f t="shared" si="164"/>
        <v>-553417002.80079401</v>
      </c>
      <c r="BK77" s="19">
        <f t="shared" si="165"/>
        <v>-529172616.82903022</v>
      </c>
      <c r="BL77" s="19">
        <f t="shared" si="166"/>
        <v>-504896101.04110521</v>
      </c>
      <c r="BM77" s="19">
        <f t="shared" si="167"/>
        <v>-480591361.47466838</v>
      </c>
      <c r="BN77" s="19">
        <f t="shared" si="168"/>
        <v>-456262613.37010986</v>
      </c>
      <c r="BO77" s="19">
        <f t="shared" si="169"/>
        <v>-431914334.98955071</v>
      </c>
      <c r="BP77" s="19">
        <f t="shared" si="170"/>
        <v>-407551218.5550223</v>
      </c>
      <c r="BQ77" s="19">
        <f t="shared" si="171"/>
        <v>-383178118.84323812</v>
      </c>
      <c r="BR77" s="17">
        <f t="shared" si="172"/>
        <v>-358800000</v>
      </c>
      <c r="BT77" s="33"/>
      <c r="BU77" s="21">
        <v>9.0000000000000011E-2</v>
      </c>
      <c r="BV77" s="17">
        <f t="shared" si="173"/>
        <v>0.40647187995004247</v>
      </c>
      <c r="BW77" s="19">
        <f t="shared" si="174"/>
        <v>0.40647187995004247</v>
      </c>
      <c r="BX77" s="19">
        <f t="shared" si="175"/>
        <v>0.40647187995004247</v>
      </c>
      <c r="BY77" s="19">
        <f t="shared" si="176"/>
        <v>0.40647187995004247</v>
      </c>
      <c r="BZ77" s="19">
        <f t="shared" si="177"/>
        <v>0.40647187995004247</v>
      </c>
      <c r="CA77" s="19">
        <f t="shared" si="178"/>
        <v>0.40647187995004247</v>
      </c>
      <c r="CB77" s="19">
        <f t="shared" si="179"/>
        <v>0.40647187995004247</v>
      </c>
      <c r="CC77" s="19">
        <f t="shared" si="180"/>
        <v>0.40647187995004247</v>
      </c>
      <c r="CD77" s="19">
        <f t="shared" si="181"/>
        <v>0.40647187995004247</v>
      </c>
      <c r="CE77" s="19">
        <f t="shared" si="182"/>
        <v>0.40647187995004247</v>
      </c>
      <c r="CF77" s="19">
        <f t="shared" si="183"/>
        <v>0.40647187995004247</v>
      </c>
      <c r="CG77" s="19">
        <f t="shared" si="184"/>
        <v>0.40647187995004247</v>
      </c>
      <c r="CH77" s="19">
        <f t="shared" si="185"/>
        <v>0.40647187995004247</v>
      </c>
      <c r="CI77" s="19">
        <f t="shared" si="186"/>
        <v>0.40647187995004247</v>
      </c>
      <c r="CJ77" s="19">
        <f t="shared" si="187"/>
        <v>0.40647187995004247</v>
      </c>
      <c r="CK77" s="19">
        <f t="shared" si="188"/>
        <v>0.40647187995004247</v>
      </c>
      <c r="CL77" s="19">
        <f t="shared" si="189"/>
        <v>0.40647187995004247</v>
      </c>
      <c r="CM77" s="19">
        <f t="shared" si="190"/>
        <v>0.40647187995004247</v>
      </c>
      <c r="CN77" s="19">
        <f t="shared" si="191"/>
        <v>0.40647187995004247</v>
      </c>
      <c r="CO77" s="19">
        <f t="shared" si="192"/>
        <v>0.40647187995004247</v>
      </c>
      <c r="CP77" s="19">
        <f t="shared" si="193"/>
        <v>0.40647187995004247</v>
      </c>
      <c r="CQ77" s="19">
        <f t="shared" si="194"/>
        <v>0.40647187995004247</v>
      </c>
      <c r="CR77" s="19">
        <f t="shared" si="195"/>
        <v>0.40647187995004247</v>
      </c>
      <c r="CS77" s="19">
        <f t="shared" si="196"/>
        <v>0.40647187995004247</v>
      </c>
      <c r="CT77" s="19">
        <f t="shared" si="197"/>
        <v>0.40647187995004247</v>
      </c>
      <c r="CU77" s="19">
        <f t="shared" si="198"/>
        <v>0.40647187995004247</v>
      </c>
      <c r="CV77" s="19">
        <f t="shared" si="199"/>
        <v>0.40647187995004247</v>
      </c>
      <c r="CW77" s="19">
        <f t="shared" si="200"/>
        <v>0.40647187995004247</v>
      </c>
      <c r="CX77" s="19">
        <f t="shared" si="201"/>
        <v>0.40647187995004247</v>
      </c>
      <c r="CY77" s="19">
        <f t="shared" si="202"/>
        <v>0.40647187995004247</v>
      </c>
      <c r="CZ77" s="17">
        <f t="shared" si="203"/>
        <v>0.40647187995004247</v>
      </c>
      <c r="DB77" s="33"/>
      <c r="DC77" s="21">
        <v>9.0000000000000011E-2</v>
      </c>
      <c r="DD77" s="17">
        <f t="shared" si="204"/>
        <v>178.05843601498725</v>
      </c>
      <c r="DE77" s="19">
        <f t="shared" si="205"/>
        <v>174.17735863300965</v>
      </c>
      <c r="DF77" s="19">
        <f t="shared" si="206"/>
        <v>170.29545100617293</v>
      </c>
      <c r="DG77" s="19">
        <f t="shared" si="207"/>
        <v>166.41189198678117</v>
      </c>
      <c r="DH77" s="19">
        <f t="shared" si="208"/>
        <v>162.52587852175742</v>
      </c>
      <c r="DI77" s="19">
        <f t="shared" si="209"/>
        <v>158.6366344517813</v>
      </c>
      <c r="DJ77" s="19">
        <f t="shared" si="210"/>
        <v>154.74341901567041</v>
      </c>
      <c r="DK77" s="19">
        <f t="shared" si="211"/>
        <v>150.84553496680317</v>
      </c>
      <c r="DL77" s="19">
        <f t="shared" si="212"/>
        <v>146.94233621263695</v>
      </c>
      <c r="DM77" s="19">
        <f t="shared" si="213"/>
        <v>143.03323489360599</v>
      </c>
      <c r="DN77" s="19">
        <f t="shared" si="214"/>
        <v>139.11770782383343</v>
      </c>
      <c r="DO77" s="19">
        <f t="shared" si="215"/>
        <v>135.19530222309294</v>
      </c>
      <c r="DP77" s="19">
        <f t="shared" si="216"/>
        <v>131.26564067722521</v>
      </c>
      <c r="DQ77" s="19">
        <f t="shared" si="217"/>
        <v>127.32842527267844</v>
      </c>
      <c r="DR77" s="19">
        <f t="shared" si="218"/>
        <v>123.38344085989358</v>
      </c>
      <c r="DS77" s="19">
        <f t="shared" si="219"/>
        <v>119.43055740980846</v>
      </c>
      <c r="DT77" s="19">
        <f t="shared" si="220"/>
        <v>115.46973143769297</v>
      </c>
      <c r="DU77" s="19">
        <f t="shared" si="221"/>
        <v>111.50100647875048</v>
      </c>
      <c r="DV77" s="19">
        <f t="shared" si="222"/>
        <v>107.5245126103105</v>
      </c>
      <c r="DW77" s="19">
        <f t="shared" si="223"/>
        <v>103.54046502588393</v>
      </c>
      <c r="DX77" s="19">
        <f t="shared" si="224"/>
        <v>99.549161676738294</v>
      </c>
      <c r="DY77" s="19">
        <f t="shared" si="225"/>
        <v>95.55098000686354</v>
      </c>
      <c r="DZ77" s="19">
        <f t="shared" si="226"/>
        <v>91.546372817128614</v>
      </c>
      <c r="EA77" s="19">
        <f t="shared" si="227"/>
        <v>87.535863303961975</v>
      </c>
      <c r="EB77" s="19">
        <f t="shared" si="228"/>
        <v>83.520039326929577</v>
      </c>
      <c r="EC77" s="19">
        <f t="shared" si="229"/>
        <v>79.499546968022202</v>
      </c>
      <c r="ED77" s="19">
        <f t="shared" si="230"/>
        <v>75.475083453218943</v>
      </c>
      <c r="EE77" s="19">
        <f t="shared" si="231"/>
        <v>71.447389513871386</v>
      </c>
      <c r="EF77" s="19">
        <f t="shared" si="232"/>
        <v>67.417241271584388</v>
      </c>
      <c r="EG77" s="19">
        <f t="shared" si="233"/>
        <v>63.385441735482921</v>
      </c>
      <c r="EH77" s="17">
        <f t="shared" si="234"/>
        <v>59.352812004995762</v>
      </c>
    </row>
    <row r="78" spans="5:138" x14ac:dyDescent="0.25">
      <c r="E78" s="35"/>
      <c r="F78" s="21">
        <v>8.666666666666667E-2</v>
      </c>
      <c r="G78" s="30">
        <f t="shared" si="139"/>
        <v>300</v>
      </c>
      <c r="H78" s="31">
        <f t="shared" si="235"/>
        <v>293.46099792604258</v>
      </c>
      <c r="I78" s="31">
        <f t="shared" si="236"/>
        <v>286.92059710025705</v>
      </c>
      <c r="J78" s="31">
        <f t="shared" si="237"/>
        <v>280.37741409722463</v>
      </c>
      <c r="K78" s="31">
        <f t="shared" si="238"/>
        <v>273.83009597636436</v>
      </c>
      <c r="L78" s="31">
        <f t="shared" si="239"/>
        <v>267.27733510624506</v>
      </c>
      <c r="M78" s="31">
        <f t="shared" si="240"/>
        <v>260.71788349230843</v>
      </c>
      <c r="N78" s="31">
        <f t="shared" si="241"/>
        <v>254.1505664509807</v>
      </c>
      <c r="O78" s="31">
        <f t="shared" si="242"/>
        <v>247.57429548032133</v>
      </c>
      <c r="P78" s="31">
        <f t="shared" si="243"/>
        <v>240.98808018616842</v>
      </c>
      <c r="Q78" s="31">
        <f t="shared" si="244"/>
        <v>234.39103913310447</v>
      </c>
      <c r="R78" s="31">
        <f t="shared" si="245"/>
        <v>227.78240950135645</v>
      </c>
      <c r="S78" s="31">
        <f t="shared" si="246"/>
        <v>221.16155544383972</v>
      </c>
      <c r="T78" s="31">
        <f t="shared" si="247"/>
        <v>214.52797505180985</v>
      </c>
      <c r="U78" s="31">
        <f t="shared" si="248"/>
        <v>207.88130585283963</v>
      </c>
      <c r="V78" s="31">
        <f t="shared" si="249"/>
        <v>201.22132878093157</v>
      </c>
      <c r="W78" s="31">
        <f t="shared" si="250"/>
        <v>194.54797057532039</v>
      </c>
      <c r="X78" s="31">
        <f t="shared" si="251"/>
        <v>187.86130458174165</v>
      </c>
      <c r="Y78" s="31">
        <f t="shared" si="252"/>
        <v>181.16154994744937</v>
      </c>
      <c r="Z78" s="31">
        <f t="shared" si="253"/>
        <v>174.44906921886252</v>
      </c>
      <c r="AA78" s="31">
        <f t="shared" si="254"/>
        <v>167.72436436821874</v>
      </c>
      <c r="AB78" s="31">
        <f t="shared" si="255"/>
        <v>160.98807129282187</v>
      </c>
      <c r="AC78" s="31">
        <f t="shared" si="256"/>
        <v>154.24095284719581</v>
      </c>
      <c r="AD78" s="31">
        <f t="shared" si="257"/>
        <v>147.48389048452177</v>
      </c>
      <c r="AE78" s="31">
        <f t="shared" si="258"/>
        <v>140.71787459896163</v>
      </c>
      <c r="AF78" s="31">
        <f t="shared" si="259"/>
        <v>133.94399367469248</v>
      </c>
      <c r="AG78" s="31">
        <f t="shared" si="260"/>
        <v>127.16342236053694</v>
      </c>
      <c r="AH78" s="31">
        <f t="shared" si="261"/>
        <v>120.377408600834</v>
      </c>
      <c r="AI78" s="31">
        <f t="shared" si="262"/>
        <v>113.58725996352189</v>
      </c>
      <c r="AJ78" s="31">
        <f t="shared" si="263"/>
        <v>106.7943293151898</v>
      </c>
      <c r="AK78" s="30">
        <f t="shared" si="141"/>
        <v>100</v>
      </c>
      <c r="AL78" s="36"/>
      <c r="AM78" s="21">
        <v>8.666666666666667E-2</v>
      </c>
      <c r="AN78" s="17">
        <f t="shared" si="142"/>
        <v>-1076400000</v>
      </c>
      <c r="AO78" s="19">
        <f t="shared" si="143"/>
        <v>-1052938077.7890085</v>
      </c>
      <c r="AP78" s="19">
        <f t="shared" si="144"/>
        <v>-1029471136.6676157</v>
      </c>
      <c r="AQ78" s="19">
        <f t="shared" si="145"/>
        <v>-1005994212.7186482</v>
      </c>
      <c r="AR78" s="19">
        <f t="shared" si="146"/>
        <v>-982502451.40865195</v>
      </c>
      <c r="AS78" s="19">
        <f t="shared" si="147"/>
        <v>-958991160.77952635</v>
      </c>
      <c r="AT78" s="19">
        <f t="shared" si="148"/>
        <v>-935455862.85833061</v>
      </c>
      <c r="AU78" s="19">
        <f t="shared" si="149"/>
        <v>-911892342.72184455</v>
      </c>
      <c r="AV78" s="19">
        <f t="shared" si="150"/>
        <v>-888296694.67819369</v>
      </c>
      <c r="AW78" s="19">
        <f t="shared" si="151"/>
        <v>-864665365.05946958</v>
      </c>
      <c r="AX78" s="19">
        <f t="shared" si="152"/>
        <v>-840995191.15645897</v>
      </c>
      <c r="AY78" s="19">
        <f t="shared" si="153"/>
        <v>-817283435.86890411</v>
      </c>
      <c r="AZ78" s="19">
        <f t="shared" si="154"/>
        <v>-793527817.69170272</v>
      </c>
      <c r="BA78" s="19">
        <f t="shared" si="155"/>
        <v>-769726535.70860422</v>
      </c>
      <c r="BB78" s="19">
        <f t="shared" si="156"/>
        <v>-745878289.31969154</v>
      </c>
      <c r="BC78" s="19">
        <f t="shared" si="157"/>
        <v>-721982292.48667657</v>
      </c>
      <c r="BD78" s="19">
        <f t="shared" si="158"/>
        <v>-698038282.34012461</v>
      </c>
      <c r="BE78" s="19">
        <f t="shared" si="159"/>
        <v>-674046522.05451119</v>
      </c>
      <c r="BF78" s="19">
        <f t="shared" si="160"/>
        <v>-650007797.95983255</v>
      </c>
      <c r="BG78" s="19">
        <f t="shared" si="161"/>
        <v>-625923410.92163408</v>
      </c>
      <c r="BH78" s="19">
        <f t="shared" si="162"/>
        <v>-601795162.08410478</v>
      </c>
      <c r="BI78" s="19">
        <f t="shared" si="163"/>
        <v>-577625333.13263249</v>
      </c>
      <c r="BJ78" s="19">
        <f t="shared" si="164"/>
        <v>-553416661.29222953</v>
      </c>
      <c r="BK78" s="19">
        <f t="shared" si="165"/>
        <v>-529172309.33588016</v>
      </c>
      <c r="BL78" s="19">
        <f t="shared" si="166"/>
        <v>-504895830.93149269</v>
      </c>
      <c r="BM78" s="19">
        <f t="shared" si="167"/>
        <v>-480591131.7071715</v>
      </c>
      <c r="BN78" s="19">
        <f t="shared" si="168"/>
        <v>-456262426.46138144</v>
      </c>
      <c r="BO78" s="19">
        <f t="shared" si="169"/>
        <v>-431914192.98677707</v>
      </c>
      <c r="BP78" s="19">
        <f t="shared" si="170"/>
        <v>-407551123.01352149</v>
      </c>
      <c r="BQ78" s="19">
        <f t="shared" si="171"/>
        <v>-383178070.80944097</v>
      </c>
      <c r="BR78" s="17">
        <f t="shared" si="172"/>
        <v>-358800000</v>
      </c>
      <c r="BT78" s="33"/>
      <c r="BU78" s="21">
        <v>8.666666666666667E-2</v>
      </c>
      <c r="BV78" s="17">
        <f t="shared" si="173"/>
        <v>0.40647187995004247</v>
      </c>
      <c r="BW78" s="19">
        <f t="shared" si="174"/>
        <v>0.40647187995004247</v>
      </c>
      <c r="BX78" s="19">
        <f t="shared" si="175"/>
        <v>0.40647187995004247</v>
      </c>
      <c r="BY78" s="19">
        <f t="shared" si="176"/>
        <v>0.40647187995004247</v>
      </c>
      <c r="BZ78" s="19">
        <f t="shared" si="177"/>
        <v>0.40647187995004247</v>
      </c>
      <c r="CA78" s="19">
        <f t="shared" si="178"/>
        <v>0.40647187995004247</v>
      </c>
      <c r="CB78" s="19">
        <f t="shared" si="179"/>
        <v>0.40647187995004247</v>
      </c>
      <c r="CC78" s="19">
        <f t="shared" si="180"/>
        <v>0.40647187995004247</v>
      </c>
      <c r="CD78" s="19">
        <f t="shared" si="181"/>
        <v>0.40647187995004247</v>
      </c>
      <c r="CE78" s="19">
        <f t="shared" si="182"/>
        <v>0.40647187995004247</v>
      </c>
      <c r="CF78" s="19">
        <f t="shared" si="183"/>
        <v>0.40647187995004247</v>
      </c>
      <c r="CG78" s="19">
        <f t="shared" si="184"/>
        <v>0.40647187995004247</v>
      </c>
      <c r="CH78" s="19">
        <f t="shared" si="185"/>
        <v>0.40647187995004247</v>
      </c>
      <c r="CI78" s="19">
        <f t="shared" si="186"/>
        <v>0.40647187995004247</v>
      </c>
      <c r="CJ78" s="19">
        <f t="shared" si="187"/>
        <v>0.40647187995004247</v>
      </c>
      <c r="CK78" s="19">
        <f t="shared" si="188"/>
        <v>0.40647187995004247</v>
      </c>
      <c r="CL78" s="19">
        <f t="shared" si="189"/>
        <v>0.40647187995004247</v>
      </c>
      <c r="CM78" s="19">
        <f t="shared" si="190"/>
        <v>0.40647187995004247</v>
      </c>
      <c r="CN78" s="19">
        <f t="shared" si="191"/>
        <v>0.40647187995004247</v>
      </c>
      <c r="CO78" s="19">
        <f t="shared" si="192"/>
        <v>0.40647187995004247</v>
      </c>
      <c r="CP78" s="19">
        <f t="shared" si="193"/>
        <v>0.40647187995004247</v>
      </c>
      <c r="CQ78" s="19">
        <f t="shared" si="194"/>
        <v>0.40647187995004247</v>
      </c>
      <c r="CR78" s="19">
        <f t="shared" si="195"/>
        <v>0.40647187995004247</v>
      </c>
      <c r="CS78" s="19">
        <f t="shared" si="196"/>
        <v>0.40647187995004247</v>
      </c>
      <c r="CT78" s="19">
        <f t="shared" si="197"/>
        <v>0.40647187995004247</v>
      </c>
      <c r="CU78" s="19">
        <f t="shared" si="198"/>
        <v>0.40647187995004247</v>
      </c>
      <c r="CV78" s="19">
        <f t="shared" si="199"/>
        <v>0.40647187995004247</v>
      </c>
      <c r="CW78" s="19">
        <f t="shared" si="200"/>
        <v>0.40647187995004247</v>
      </c>
      <c r="CX78" s="19">
        <f t="shared" si="201"/>
        <v>0.40647187995004247</v>
      </c>
      <c r="CY78" s="19">
        <f t="shared" si="202"/>
        <v>0.40647187995004247</v>
      </c>
      <c r="CZ78" s="17">
        <f t="shared" si="203"/>
        <v>0.40647187995004247</v>
      </c>
      <c r="DB78" s="33"/>
      <c r="DC78" s="21">
        <v>8.666666666666667E-2</v>
      </c>
      <c r="DD78" s="17">
        <f t="shared" si="204"/>
        <v>178.05843601498725</v>
      </c>
      <c r="DE78" s="19">
        <f t="shared" si="205"/>
        <v>174.17734903689598</v>
      </c>
      <c r="DF78" s="19">
        <f t="shared" si="206"/>
        <v>170.29543191911759</v>
      </c>
      <c r="DG78" s="19">
        <f t="shared" si="207"/>
        <v>166.41186361797415</v>
      </c>
      <c r="DH78" s="19">
        <f t="shared" si="208"/>
        <v>162.525841182112</v>
      </c>
      <c r="DI78" s="19">
        <f t="shared" si="209"/>
        <v>158.6365885505233</v>
      </c>
      <c r="DJ78" s="19">
        <f t="shared" si="210"/>
        <v>154.74336505584895</v>
      </c>
      <c r="DK78" s="19">
        <f t="shared" si="211"/>
        <v>150.845473539773</v>
      </c>
      <c r="DL78" s="19">
        <f t="shared" si="212"/>
        <v>146.94226799157252</v>
      </c>
      <c r="DM78" s="19">
        <f t="shared" si="213"/>
        <v>143.03316062611847</v>
      </c>
      <c r="DN78" s="19">
        <f t="shared" si="214"/>
        <v>139.11762832377269</v>
      </c>
      <c r="DO78" s="19">
        <f t="shared" si="215"/>
        <v>135.19521836162366</v>
      </c>
      <c r="DP78" s="19">
        <f t="shared" si="216"/>
        <v>131.26555337327596</v>
      </c>
      <c r="DQ78" s="19">
        <f t="shared" si="217"/>
        <v>127.32833548286827</v>
      </c>
      <c r="DR78" s="19">
        <f t="shared" si="218"/>
        <v>123.38334956804673</v>
      </c>
      <c r="DS78" s="19">
        <f t="shared" si="219"/>
        <v>119.43046561617236</v>
      </c>
      <c r="DT78" s="19">
        <f t="shared" si="220"/>
        <v>115.46964014797796</v>
      </c>
      <c r="DU78" s="19">
        <f t="shared" si="221"/>
        <v>111.50091669311087</v>
      </c>
      <c r="DV78" s="19">
        <f t="shared" si="222"/>
        <v>107.52442531238822</v>
      </c>
      <c r="DW78" s="19">
        <f t="shared" si="223"/>
        <v>103.5403811720346</v>
      </c>
      <c r="DX78" s="19">
        <f t="shared" si="224"/>
        <v>99.549082185557481</v>
      </c>
      <c r="DY78" s="19">
        <f t="shared" si="225"/>
        <v>95.550905749127878</v>
      </c>
      <c r="DZ78" s="19">
        <f t="shared" si="226"/>
        <v>91.546304606261671</v>
      </c>
      <c r="EA78" s="19">
        <f t="shared" si="227"/>
        <v>87.535801887129352</v>
      </c>
      <c r="EB78" s="19">
        <f t="shared" si="228"/>
        <v>83.519985376859921</v>
      </c>
      <c r="EC78" s="19">
        <f t="shared" si="229"/>
        <v>79.499501075644119</v>
      </c>
      <c r="ED78" s="19">
        <f t="shared" si="230"/>
        <v>75.475046121193515</v>
      </c>
      <c r="EE78" s="19">
        <f t="shared" si="231"/>
        <v>71.447361151091329</v>
      </c>
      <c r="EF78" s="19">
        <f t="shared" si="232"/>
        <v>67.417222188699569</v>
      </c>
      <c r="EG78" s="19">
        <f t="shared" si="233"/>
        <v>63.385432141501127</v>
      </c>
      <c r="EH78" s="17">
        <f t="shared" si="234"/>
        <v>59.352812004995762</v>
      </c>
    </row>
    <row r="79" spans="5:138" x14ac:dyDescent="0.25">
      <c r="E79" s="35"/>
      <c r="F79" s="21">
        <v>8.3333333333333343E-2</v>
      </c>
      <c r="G79" s="30">
        <f t="shared" si="139"/>
        <v>300</v>
      </c>
      <c r="H79" s="31">
        <f t="shared" si="235"/>
        <v>293.46098055254583</v>
      </c>
      <c r="I79" s="31">
        <f t="shared" si="236"/>
        <v>286.92056254367446</v>
      </c>
      <c r="J79" s="31">
        <f t="shared" si="237"/>
        <v>280.377362736289</v>
      </c>
      <c r="K79" s="31">
        <f t="shared" si="238"/>
        <v>273.83002837397549</v>
      </c>
      <c r="L79" s="31">
        <f t="shared" si="239"/>
        <v>267.27725200329479</v>
      </c>
      <c r="M79" s="31">
        <f t="shared" si="240"/>
        <v>260.71778579955327</v>
      </c>
      <c r="N79" s="31">
        <f t="shared" si="241"/>
        <v>254.15045523905204</v>
      </c>
      <c r="O79" s="31">
        <f t="shared" si="242"/>
        <v>247.57417196798266</v>
      </c>
      <c r="P79" s="31">
        <f t="shared" si="243"/>
        <v>240.98794572694905</v>
      </c>
      <c r="Q79" s="31">
        <f t="shared" si="244"/>
        <v>234.39089520045684</v>
      </c>
      <c r="R79" s="31">
        <f t="shared" si="245"/>
        <v>227.78225767250001</v>
      </c>
      <c r="S79" s="31">
        <f t="shared" si="246"/>
        <v>221.16139738246915</v>
      </c>
      <c r="T79" s="31">
        <f t="shared" si="247"/>
        <v>214.52781248985724</v>
      </c>
      <c r="U79" s="31">
        <f t="shared" si="248"/>
        <v>207.88114057149136</v>
      </c>
      <c r="V79" s="31">
        <f t="shared" si="249"/>
        <v>201.22116259110788</v>
      </c>
      <c r="W79" s="31">
        <f t="shared" si="250"/>
        <v>194.54780529783176</v>
      </c>
      <c r="X79" s="31">
        <f t="shared" si="251"/>
        <v>187.86114202733961</v>
      </c>
      <c r="Y79" s="31">
        <f t="shared" si="252"/>
        <v>181.16139189699038</v>
      </c>
      <c r="Z79" s="31">
        <f t="shared" si="253"/>
        <v>174.4489174038018</v>
      </c>
      <c r="AA79" s="31">
        <f t="shared" si="254"/>
        <v>167.72422045164797</v>
      </c>
      <c r="AB79" s="31">
        <f t="shared" si="255"/>
        <v>160.98793685125784</v>
      </c>
      <c r="AC79" s="31">
        <f t="shared" si="256"/>
        <v>154.24082935331938</v>
      </c>
      <c r="AD79" s="31">
        <f t="shared" si="257"/>
        <v>147.48377929105538</v>
      </c>
      <c r="AE79" s="31">
        <f t="shared" si="258"/>
        <v>140.71777692386186</v>
      </c>
      <c r="AF79" s="31">
        <f t="shared" si="259"/>
        <v>133.94391058781903</v>
      </c>
      <c r="AG79" s="31">
        <f t="shared" si="260"/>
        <v>127.16335477194377</v>
      </c>
      <c r="AH79" s="31">
        <f t="shared" si="261"/>
        <v>120.37735725080998</v>
      </c>
      <c r="AI79" s="31">
        <f t="shared" si="262"/>
        <v>113.58722541448995</v>
      </c>
      <c r="AJ79" s="31">
        <f t="shared" si="263"/>
        <v>106.79431194555275</v>
      </c>
      <c r="AK79" s="30">
        <f t="shared" si="141"/>
        <v>100</v>
      </c>
      <c r="AL79" s="36"/>
      <c r="AM79" s="21">
        <v>8.3333333333333343E-2</v>
      </c>
      <c r="AN79" s="17">
        <f t="shared" si="142"/>
        <v>-1076400000</v>
      </c>
      <c r="AO79" s="19">
        <f t="shared" si="143"/>
        <v>-1052938014.6095185</v>
      </c>
      <c r="AP79" s="19">
        <f t="shared" si="144"/>
        <v>-1029471011.0010734</v>
      </c>
      <c r="AQ79" s="19">
        <f t="shared" si="145"/>
        <v>-1005994025.9423321</v>
      </c>
      <c r="AR79" s="19">
        <f t="shared" si="146"/>
        <v>-982502205.56957233</v>
      </c>
      <c r="AS79" s="19">
        <f t="shared" si="147"/>
        <v>-958990858.57196903</v>
      </c>
      <c r="AT79" s="19">
        <f t="shared" si="148"/>
        <v>-935455507.59430182</v>
      </c>
      <c r="AU79" s="19">
        <f t="shared" si="149"/>
        <v>-911891938.29474306</v>
      </c>
      <c r="AV79" s="19">
        <f t="shared" si="150"/>
        <v>-888296245.52010667</v>
      </c>
      <c r="AW79" s="19">
        <f t="shared" si="151"/>
        <v>-864664876.09256625</v>
      </c>
      <c r="AX79" s="19">
        <f t="shared" si="152"/>
        <v>-840994667.73901451</v>
      </c>
      <c r="AY79" s="19">
        <f t="shared" si="153"/>
        <v>-817282883.73654687</v>
      </c>
      <c r="AZ79" s="19">
        <f t="shared" si="154"/>
        <v>-793527242.89453197</v>
      </c>
      <c r="BA79" s="19">
        <f t="shared" si="155"/>
        <v>-769725944.54486775</v>
      </c>
      <c r="BB79" s="19">
        <f t="shared" si="156"/>
        <v>-745877688.26675224</v>
      </c>
      <c r="BC79" s="19">
        <f t="shared" si="157"/>
        <v>-721981688.13002634</v>
      </c>
      <c r="BD79" s="19">
        <f t="shared" si="158"/>
        <v>-698037681.30122113</v>
      </c>
      <c r="BE79" s="19">
        <f t="shared" si="159"/>
        <v>-674045930.91823268</v>
      </c>
      <c r="BF79" s="19">
        <f t="shared" si="160"/>
        <v>-650007223.20234239</v>
      </c>
      <c r="BG79" s="19">
        <f t="shared" si="161"/>
        <v>-625922858.83944571</v>
      </c>
      <c r="BH79" s="19">
        <f t="shared" si="162"/>
        <v>-601794638.72512484</v>
      </c>
      <c r="BI79" s="19">
        <f t="shared" si="163"/>
        <v>-577624844.22993386</v>
      </c>
      <c r="BJ79" s="19">
        <f t="shared" si="164"/>
        <v>-553416212.20128155</v>
      </c>
      <c r="BK79" s="19">
        <f t="shared" si="165"/>
        <v>-529171904.9759177</v>
      </c>
      <c r="BL79" s="19">
        <f t="shared" si="166"/>
        <v>-504895475.73166883</v>
      </c>
      <c r="BM79" s="19">
        <f t="shared" si="167"/>
        <v>-480590829.55807841</v>
      </c>
      <c r="BN79" s="19">
        <f t="shared" si="168"/>
        <v>-456262180.67247057</v>
      </c>
      <c r="BO79" s="19">
        <f t="shared" si="169"/>
        <v>-431914006.2501418</v>
      </c>
      <c r="BP79" s="19">
        <f t="shared" si="170"/>
        <v>-407550997.37443769</v>
      </c>
      <c r="BQ79" s="19">
        <f t="shared" si="171"/>
        <v>-383178007.64398694</v>
      </c>
      <c r="BR79" s="17">
        <f t="shared" si="172"/>
        <v>-358800000</v>
      </c>
      <c r="BT79" s="33"/>
      <c r="BU79" s="21">
        <v>8.3333333333333343E-2</v>
      </c>
      <c r="BV79" s="17">
        <f t="shared" si="173"/>
        <v>0.40647187995004247</v>
      </c>
      <c r="BW79" s="19">
        <f t="shared" si="174"/>
        <v>0.40647187995004247</v>
      </c>
      <c r="BX79" s="19">
        <f t="shared" si="175"/>
        <v>0.40647187995004247</v>
      </c>
      <c r="BY79" s="19">
        <f t="shared" si="176"/>
        <v>0.40647187995004247</v>
      </c>
      <c r="BZ79" s="19">
        <f t="shared" si="177"/>
        <v>0.40647187995004247</v>
      </c>
      <c r="CA79" s="19">
        <f t="shared" si="178"/>
        <v>0.40647187995004247</v>
      </c>
      <c r="CB79" s="19">
        <f t="shared" si="179"/>
        <v>0.40647187995004247</v>
      </c>
      <c r="CC79" s="19">
        <f t="shared" si="180"/>
        <v>0.40647187995004247</v>
      </c>
      <c r="CD79" s="19">
        <f t="shared" si="181"/>
        <v>0.40647187995004247</v>
      </c>
      <c r="CE79" s="19">
        <f t="shared" si="182"/>
        <v>0.40647187995004247</v>
      </c>
      <c r="CF79" s="19">
        <f t="shared" si="183"/>
        <v>0.40647187995004247</v>
      </c>
      <c r="CG79" s="19">
        <f t="shared" si="184"/>
        <v>0.40647187995004247</v>
      </c>
      <c r="CH79" s="19">
        <f t="shared" si="185"/>
        <v>0.40647187995004247</v>
      </c>
      <c r="CI79" s="19">
        <f t="shared" si="186"/>
        <v>0.40647187995004247</v>
      </c>
      <c r="CJ79" s="19">
        <f t="shared" si="187"/>
        <v>0.40647187995004247</v>
      </c>
      <c r="CK79" s="19">
        <f t="shared" si="188"/>
        <v>0.40647187995004247</v>
      </c>
      <c r="CL79" s="19">
        <f t="shared" si="189"/>
        <v>0.40647187995004247</v>
      </c>
      <c r="CM79" s="19">
        <f t="shared" si="190"/>
        <v>0.40647187995004247</v>
      </c>
      <c r="CN79" s="19">
        <f t="shared" si="191"/>
        <v>0.40647187995004247</v>
      </c>
      <c r="CO79" s="19">
        <f t="shared" si="192"/>
        <v>0.40647187995004247</v>
      </c>
      <c r="CP79" s="19">
        <f t="shared" si="193"/>
        <v>0.40647187995004247</v>
      </c>
      <c r="CQ79" s="19">
        <f t="shared" si="194"/>
        <v>0.40647187995004247</v>
      </c>
      <c r="CR79" s="19">
        <f t="shared" si="195"/>
        <v>0.40647187995004247</v>
      </c>
      <c r="CS79" s="19">
        <f t="shared" si="196"/>
        <v>0.40647187995004247</v>
      </c>
      <c r="CT79" s="19">
        <f t="shared" si="197"/>
        <v>0.40647187995004247</v>
      </c>
      <c r="CU79" s="19">
        <f t="shared" si="198"/>
        <v>0.40647187995004247</v>
      </c>
      <c r="CV79" s="19">
        <f t="shared" si="199"/>
        <v>0.40647187995004247</v>
      </c>
      <c r="CW79" s="19">
        <f t="shared" si="200"/>
        <v>0.40647187995004247</v>
      </c>
      <c r="CX79" s="19">
        <f t="shared" si="201"/>
        <v>0.40647187995004247</v>
      </c>
      <c r="CY79" s="19">
        <f t="shared" si="202"/>
        <v>0.40647187995004247</v>
      </c>
      <c r="CZ79" s="17">
        <f t="shared" si="203"/>
        <v>0.40647187995004247</v>
      </c>
      <c r="DB79" s="33"/>
      <c r="DC79" s="21">
        <v>8.3333333333333343E-2</v>
      </c>
      <c r="DD79" s="17">
        <f t="shared" si="204"/>
        <v>178.05843601498725</v>
      </c>
      <c r="DE79" s="19">
        <f t="shared" si="205"/>
        <v>174.17733703353181</v>
      </c>
      <c r="DF79" s="19">
        <f t="shared" si="206"/>
        <v>170.29540804394429</v>
      </c>
      <c r="DG79" s="19">
        <f t="shared" si="207"/>
        <v>166.41182813265857</v>
      </c>
      <c r="DH79" s="19">
        <f t="shared" si="208"/>
        <v>162.52579447556212</v>
      </c>
      <c r="DI79" s="19">
        <f t="shared" si="209"/>
        <v>158.63653113462186</v>
      </c>
      <c r="DJ79" s="19">
        <f t="shared" si="210"/>
        <v>154.74329755983851</v>
      </c>
      <c r="DK79" s="19">
        <f t="shared" si="211"/>
        <v>150.84539670335371</v>
      </c>
      <c r="DL79" s="19">
        <f t="shared" si="212"/>
        <v>146.94218265678916</v>
      </c>
      <c r="DM79" s="19">
        <f t="shared" si="213"/>
        <v>143.03306772812559</v>
      </c>
      <c r="DN79" s="19">
        <f t="shared" si="214"/>
        <v>139.1175288805799</v>
      </c>
      <c r="DO79" s="19">
        <f t="shared" si="215"/>
        <v>135.19511346293325</v>
      </c>
      <c r="DP79" s="19">
        <f t="shared" si="216"/>
        <v>131.26544416853608</v>
      </c>
      <c r="DQ79" s="19">
        <f t="shared" si="217"/>
        <v>127.32822316867228</v>
      </c>
      <c r="DR79" s="19">
        <f t="shared" si="218"/>
        <v>123.38323537501786</v>
      </c>
      <c r="DS79" s="19">
        <f t="shared" si="219"/>
        <v>119.43035079547704</v>
      </c>
      <c r="DT79" s="19">
        <f t="shared" si="220"/>
        <v>115.46952595761573</v>
      </c>
      <c r="DU79" s="19">
        <f t="shared" si="221"/>
        <v>111.50080438413156</v>
      </c>
      <c r="DV79" s="19">
        <f t="shared" si="222"/>
        <v>107.52431611518713</v>
      </c>
      <c r="DW79" s="19">
        <f t="shared" si="223"/>
        <v>103.54027628287567</v>
      </c>
      <c r="DX79" s="19">
        <f t="shared" si="224"/>
        <v>99.548982753472188</v>
      </c>
      <c r="DY79" s="19">
        <f t="shared" si="225"/>
        <v>95.550812863333078</v>
      </c>
      <c r="DZ79" s="19">
        <f t="shared" si="226"/>
        <v>91.546219284233857</v>
      </c>
      <c r="EA79" s="19">
        <f t="shared" si="227"/>
        <v>87.535725063465648</v>
      </c>
      <c r="EB79" s="19">
        <f t="shared" si="228"/>
        <v>83.519917893047591</v>
      </c>
      <c r="EC79" s="19">
        <f t="shared" si="229"/>
        <v>79.499443670850184</v>
      </c>
      <c r="ED79" s="19">
        <f t="shared" si="230"/>
        <v>75.474999424175053</v>
      </c>
      <c r="EE79" s="19">
        <f t="shared" si="231"/>
        <v>71.44732567331458</v>
      </c>
      <c r="EF79" s="19">
        <f t="shared" si="232"/>
        <v>67.417198318743019</v>
      </c>
      <c r="EG79" s="19">
        <f t="shared" si="233"/>
        <v>63.38542014080361</v>
      </c>
      <c r="EH79" s="17">
        <f t="shared" si="234"/>
        <v>59.352812004995762</v>
      </c>
    </row>
    <row r="80" spans="5:138" x14ac:dyDescent="0.25">
      <c r="E80" s="35"/>
      <c r="F80" s="21">
        <v>0.08</v>
      </c>
      <c r="G80" s="30">
        <f t="shared" si="139"/>
        <v>300</v>
      </c>
      <c r="H80" s="31">
        <f t="shared" si="235"/>
        <v>293.46095922084038</v>
      </c>
      <c r="I80" s="31">
        <f t="shared" si="236"/>
        <v>286.92052011405582</v>
      </c>
      <c r="J80" s="31">
        <f t="shared" si="237"/>
        <v>280.37729967377675</v>
      </c>
      <c r="K80" s="31">
        <f t="shared" si="238"/>
        <v>273.82994536971501</v>
      </c>
      <c r="L80" s="31">
        <f t="shared" si="239"/>
        <v>267.27714996697557</v>
      </c>
      <c r="M80" s="31">
        <f t="shared" si="240"/>
        <v>260.71766584942975</v>
      </c>
      <c r="N80" s="31">
        <f t="shared" si="241"/>
        <v>254.15031868967787</v>
      </c>
      <c r="O80" s="31">
        <f t="shared" si="242"/>
        <v>247.57402031579255</v>
      </c>
      <c r="P80" s="31">
        <f t="shared" si="243"/>
        <v>240.98778063384728</v>
      </c>
      <c r="Q80" s="31">
        <f t="shared" si="244"/>
        <v>234.39071847559291</v>
      </c>
      <c r="R80" s="31">
        <f t="shared" si="245"/>
        <v>227.78207125243179</v>
      </c>
      <c r="S80" s="31">
        <f t="shared" si="246"/>
        <v>221.16120330993124</v>
      </c>
      <c r="T80" s="31">
        <f t="shared" si="247"/>
        <v>214.52761289136834</v>
      </c>
      <c r="U80" s="31">
        <f t="shared" si="248"/>
        <v>207.88093763404612</v>
      </c>
      <c r="V80" s="31">
        <f t="shared" si="249"/>
        <v>201.220958538209</v>
      </c>
      <c r="W80" s="31">
        <f t="shared" si="250"/>
        <v>194.5476023651255</v>
      </c>
      <c r="X80" s="31">
        <f t="shared" si="251"/>
        <v>187.86094243812158</v>
      </c>
      <c r="Y80" s="31">
        <f t="shared" si="252"/>
        <v>181.16119783785001</v>
      </c>
      <c r="Z80" s="31">
        <f t="shared" si="253"/>
        <v>174.44873100067227</v>
      </c>
      <c r="AA80" s="31">
        <f t="shared" si="254"/>
        <v>167.72404374652359</v>
      </c>
      <c r="AB80" s="31">
        <f t="shared" si="255"/>
        <v>160.98777177983374</v>
      </c>
      <c r="AC80" s="31">
        <f t="shared" si="256"/>
        <v>154.24067772379766</v>
      </c>
      <c r="AD80" s="31">
        <f t="shared" si="257"/>
        <v>147.48364276434961</v>
      </c>
      <c r="AE80" s="31">
        <f t="shared" si="258"/>
        <v>140.71765699541604</v>
      </c>
      <c r="AF80" s="31">
        <f t="shared" si="259"/>
        <v>133.94380857123934</v>
      </c>
      <c r="AG80" s="31">
        <f t="shared" si="260"/>
        <v>127.163271784622</v>
      </c>
      <c r="AH80" s="31">
        <f t="shared" si="261"/>
        <v>120.37729420169524</v>
      </c>
      <c r="AI80" s="31">
        <f t="shared" si="262"/>
        <v>113.58718299414215</v>
      </c>
      <c r="AJ80" s="31">
        <f t="shared" si="263"/>
        <v>106.7942906185863</v>
      </c>
      <c r="AK80" s="30">
        <f t="shared" si="141"/>
        <v>100</v>
      </c>
      <c r="AL80" s="36"/>
      <c r="AM80" s="21">
        <v>0.08</v>
      </c>
      <c r="AN80" s="17">
        <f t="shared" si="142"/>
        <v>-1076400000</v>
      </c>
      <c r="AO80" s="19">
        <f t="shared" si="143"/>
        <v>-1052937937.035835</v>
      </c>
      <c r="AP80" s="19">
        <f t="shared" si="144"/>
        <v>-1029470856.7039024</v>
      </c>
      <c r="AQ80" s="19">
        <f t="shared" si="145"/>
        <v>-1005993796.6127379</v>
      </c>
      <c r="AR80" s="19">
        <f t="shared" si="146"/>
        <v>-982501903.72093523</v>
      </c>
      <c r="AS80" s="19">
        <f t="shared" si="147"/>
        <v>-958990487.51241446</v>
      </c>
      <c r="AT80" s="19">
        <f t="shared" si="148"/>
        <v>-935455071.39041173</v>
      </c>
      <c r="AU80" s="19">
        <f t="shared" si="149"/>
        <v>-911891441.72694933</v>
      </c>
      <c r="AV80" s="19">
        <f t="shared" si="150"/>
        <v>-888295694.03025961</v>
      </c>
      <c r="AW80" s="19">
        <f t="shared" si="151"/>
        <v>-864664275.72425401</v>
      </c>
      <c r="AX80" s="19">
        <f t="shared" si="152"/>
        <v>-840994025.07128847</v>
      </c>
      <c r="AY80" s="19">
        <f t="shared" si="153"/>
        <v>-817282205.81178474</v>
      </c>
      <c r="AZ80" s="19">
        <f t="shared" si="154"/>
        <v>-793526537.14122784</v>
      </c>
      <c r="BA80" s="19">
        <f t="shared" si="155"/>
        <v>-769725218.69620037</v>
      </c>
      <c r="BB80" s="19">
        <f t="shared" si="156"/>
        <v>-745876950.27582371</v>
      </c>
      <c r="BC80" s="19">
        <f t="shared" si="157"/>
        <v>-721980946.08270156</v>
      </c>
      <c r="BD80" s="19">
        <f t="shared" si="158"/>
        <v>-698036943.32752621</v>
      </c>
      <c r="BE80" s="19">
        <f t="shared" si="159"/>
        <v>-674045205.10327947</v>
      </c>
      <c r="BF80" s="19">
        <f t="shared" si="160"/>
        <v>-650006517.49775922</v>
      </c>
      <c r="BG80" s="19">
        <f t="shared" si="161"/>
        <v>-625922180.97628212</v>
      </c>
      <c r="BH80" s="19">
        <f t="shared" si="162"/>
        <v>-601793996.12918282</v>
      </c>
      <c r="BI80" s="19">
        <f t="shared" si="163"/>
        <v>-577624243.94045365</v>
      </c>
      <c r="BJ80" s="19">
        <f t="shared" si="164"/>
        <v>-553415660.79386938</v>
      </c>
      <c r="BK80" s="19">
        <f t="shared" si="165"/>
        <v>-529171408.49055874</v>
      </c>
      <c r="BL80" s="19">
        <f t="shared" si="166"/>
        <v>-504895039.60661095</v>
      </c>
      <c r="BM80" s="19">
        <f t="shared" si="167"/>
        <v>-480590458.57030809</v>
      </c>
      <c r="BN80" s="19">
        <f t="shared" si="168"/>
        <v>-456261878.885432</v>
      </c>
      <c r="BO80" s="19">
        <f t="shared" si="169"/>
        <v>-431913776.96926826</v>
      </c>
      <c r="BP80" s="19">
        <f t="shared" si="170"/>
        <v>-407550843.11098075</v>
      </c>
      <c r="BQ80" s="19">
        <f t="shared" si="171"/>
        <v>-383177930.08753723</v>
      </c>
      <c r="BR80" s="17">
        <f t="shared" si="172"/>
        <v>-358800000</v>
      </c>
      <c r="BT80" s="33"/>
      <c r="BU80" s="21">
        <v>0.08</v>
      </c>
      <c r="BV80" s="17">
        <f t="shared" si="173"/>
        <v>0.40647187995004247</v>
      </c>
      <c r="BW80" s="19">
        <f t="shared" si="174"/>
        <v>0.40647187995004247</v>
      </c>
      <c r="BX80" s="19">
        <f t="shared" si="175"/>
        <v>0.40647187995004247</v>
      </c>
      <c r="BY80" s="19">
        <f t="shared" si="176"/>
        <v>0.40647187995004247</v>
      </c>
      <c r="BZ80" s="19">
        <f t="shared" si="177"/>
        <v>0.40647187995004247</v>
      </c>
      <c r="CA80" s="19">
        <f t="shared" si="178"/>
        <v>0.40647187995004247</v>
      </c>
      <c r="CB80" s="19">
        <f t="shared" si="179"/>
        <v>0.40647187995004247</v>
      </c>
      <c r="CC80" s="19">
        <f t="shared" si="180"/>
        <v>0.40647187995004247</v>
      </c>
      <c r="CD80" s="19">
        <f t="shared" si="181"/>
        <v>0.40647187995004247</v>
      </c>
      <c r="CE80" s="19">
        <f t="shared" si="182"/>
        <v>0.40647187995004247</v>
      </c>
      <c r="CF80" s="19">
        <f t="shared" si="183"/>
        <v>0.40647187995004247</v>
      </c>
      <c r="CG80" s="19">
        <f t="shared" si="184"/>
        <v>0.40647187995004247</v>
      </c>
      <c r="CH80" s="19">
        <f t="shared" si="185"/>
        <v>0.40647187995004247</v>
      </c>
      <c r="CI80" s="19">
        <f t="shared" si="186"/>
        <v>0.40647187995004247</v>
      </c>
      <c r="CJ80" s="19">
        <f t="shared" si="187"/>
        <v>0.40647187995004247</v>
      </c>
      <c r="CK80" s="19">
        <f t="shared" si="188"/>
        <v>0.40647187995004247</v>
      </c>
      <c r="CL80" s="19">
        <f t="shared" si="189"/>
        <v>0.40647187995004247</v>
      </c>
      <c r="CM80" s="19">
        <f t="shared" si="190"/>
        <v>0.40647187995004247</v>
      </c>
      <c r="CN80" s="19">
        <f t="shared" si="191"/>
        <v>0.40647187995004247</v>
      </c>
      <c r="CO80" s="19">
        <f t="shared" si="192"/>
        <v>0.40647187995004247</v>
      </c>
      <c r="CP80" s="19">
        <f t="shared" si="193"/>
        <v>0.40647187995004247</v>
      </c>
      <c r="CQ80" s="19">
        <f t="shared" si="194"/>
        <v>0.40647187995004247</v>
      </c>
      <c r="CR80" s="19">
        <f t="shared" si="195"/>
        <v>0.40647187995004247</v>
      </c>
      <c r="CS80" s="19">
        <f t="shared" si="196"/>
        <v>0.40647187995004247</v>
      </c>
      <c r="CT80" s="19">
        <f t="shared" si="197"/>
        <v>0.40647187995004247</v>
      </c>
      <c r="CU80" s="19">
        <f t="shared" si="198"/>
        <v>0.40647187995004247</v>
      </c>
      <c r="CV80" s="19">
        <f t="shared" si="199"/>
        <v>0.40647187995004247</v>
      </c>
      <c r="CW80" s="19">
        <f t="shared" si="200"/>
        <v>0.40647187995004247</v>
      </c>
      <c r="CX80" s="19">
        <f t="shared" si="201"/>
        <v>0.40647187995004247</v>
      </c>
      <c r="CY80" s="19">
        <f t="shared" si="202"/>
        <v>0.40647187995004247</v>
      </c>
      <c r="CZ80" s="17">
        <f t="shared" si="203"/>
        <v>0.40647187995004247</v>
      </c>
      <c r="DB80" s="33"/>
      <c r="DC80" s="21">
        <v>0.08</v>
      </c>
      <c r="DD80" s="17">
        <f t="shared" si="204"/>
        <v>178.05843601498725</v>
      </c>
      <c r="DE80" s="19">
        <f t="shared" si="205"/>
        <v>174.17732276366422</v>
      </c>
      <c r="DF80" s="19">
        <f t="shared" si="206"/>
        <v>170.29537966060474</v>
      </c>
      <c r="DG80" s="19">
        <f t="shared" si="207"/>
        <v>166.41178594692235</v>
      </c>
      <c r="DH80" s="19">
        <f t="shared" si="208"/>
        <v>162.52573894977175</v>
      </c>
      <c r="DI80" s="19">
        <f t="shared" si="209"/>
        <v>158.63646287731507</v>
      </c>
      <c r="DJ80" s="19">
        <f t="shared" si="210"/>
        <v>154.74321731907287</v>
      </c>
      <c r="DK80" s="19">
        <f t="shared" si="211"/>
        <v>150.84530535850129</v>
      </c>
      <c r="DL80" s="19">
        <f t="shared" si="212"/>
        <v>146.94208120889152</v>
      </c>
      <c r="DM80" s="19">
        <f t="shared" si="213"/>
        <v>143.0329572889155</v>
      </c>
      <c r="DN80" s="19">
        <f t="shared" si="214"/>
        <v>139.11741066028983</v>
      </c>
      <c r="DO80" s="19">
        <f t="shared" si="215"/>
        <v>135.19498875702573</v>
      </c>
      <c r="DP80" s="19">
        <f t="shared" si="216"/>
        <v>131.26531434350062</v>
      </c>
      <c r="DQ80" s="19">
        <f t="shared" si="217"/>
        <v>127.32808964704587</v>
      </c>
      <c r="DR80" s="19">
        <f t="shared" si="218"/>
        <v>123.38309961979299</v>
      </c>
      <c r="DS80" s="19">
        <f t="shared" si="219"/>
        <v>119.43021429406824</v>
      </c>
      <c r="DT80" s="19">
        <f t="shared" si="220"/>
        <v>115.46939020556101</v>
      </c>
      <c r="DU80" s="19">
        <f t="shared" si="221"/>
        <v>111.50067086870692</v>
      </c>
      <c r="DV80" s="19">
        <f t="shared" si="222"/>
        <v>107.52418629911394</v>
      </c>
      <c r="DW80" s="19">
        <f t="shared" si="223"/>
        <v>103.54015158829927</v>
      </c>
      <c r="DX80" s="19">
        <f t="shared" si="224"/>
        <v>99.548864546386866</v>
      </c>
      <c r="DY80" s="19">
        <f t="shared" si="225"/>
        <v>95.550702438624228</v>
      </c>
      <c r="DZ80" s="19">
        <f t="shared" si="226"/>
        <v>91.546117851500227</v>
      </c>
      <c r="EA80" s="19">
        <f t="shared" si="227"/>
        <v>87.535633733777175</v>
      </c>
      <c r="EB80" s="19">
        <f t="shared" si="228"/>
        <v>83.519837666783204</v>
      </c>
      <c r="EC80" s="19">
        <f t="shared" si="229"/>
        <v>79.499375426748145</v>
      </c>
      <c r="ED80" s="19">
        <f t="shared" si="230"/>
        <v>75.474943909715805</v>
      </c>
      <c r="EE80" s="19">
        <f t="shared" si="231"/>
        <v>71.447283496540621</v>
      </c>
      <c r="EF80" s="19">
        <f t="shared" si="232"/>
        <v>67.417169941605181</v>
      </c>
      <c r="EG80" s="19">
        <f t="shared" si="233"/>
        <v>63.385405874106191</v>
      </c>
      <c r="EH80" s="17">
        <f t="shared" si="234"/>
        <v>59.352812004995762</v>
      </c>
    </row>
    <row r="81" spans="5:138" x14ac:dyDescent="0.25">
      <c r="E81" s="35"/>
      <c r="F81" s="21">
        <v>7.6666666666666675E-2</v>
      </c>
      <c r="G81" s="30">
        <f t="shared" si="139"/>
        <v>300</v>
      </c>
      <c r="H81" s="31">
        <f t="shared" si="235"/>
        <v>293.46093418105283</v>
      </c>
      <c r="I81" s="31">
        <f t="shared" si="236"/>
        <v>286.92047030891297</v>
      </c>
      <c r="J81" s="31">
        <f t="shared" si="237"/>
        <v>280.37722564913236</v>
      </c>
      <c r="K81" s="31">
        <f t="shared" si="238"/>
        <v>273.82984793685608</v>
      </c>
      <c r="L81" s="31">
        <f t="shared" si="239"/>
        <v>267.27703019372245</v>
      </c>
      <c r="M81" s="31">
        <f t="shared" si="240"/>
        <v>260.71752504842266</v>
      </c>
      <c r="N81" s="31">
        <f t="shared" si="241"/>
        <v>254.15015840397882</v>
      </c>
      <c r="O81" s="31">
        <f t="shared" si="242"/>
        <v>247.57384230196084</v>
      </c>
      <c r="P81" s="31">
        <f t="shared" si="243"/>
        <v>240.98758684267546</v>
      </c>
      <c r="Q81" s="31">
        <f t="shared" si="244"/>
        <v>234.39051103071421</v>
      </c>
      <c r="R81" s="31">
        <f t="shared" si="245"/>
        <v>227.78185242703512</v>
      </c>
      <c r="S81" s="31">
        <f t="shared" si="246"/>
        <v>221.16097550183906</v>
      </c>
      <c r="T81" s="31">
        <f t="shared" si="247"/>
        <v>214.52737859675125</v>
      </c>
      <c r="U81" s="31">
        <f t="shared" si="248"/>
        <v>207.88069942006317</v>
      </c>
      <c r="V81" s="31">
        <f t="shared" si="249"/>
        <v>201.22071901487351</v>
      </c>
      <c r="W81" s="31">
        <f t="shared" si="250"/>
        <v>194.54736415670524</v>
      </c>
      <c r="X81" s="31">
        <f t="shared" si="251"/>
        <v>187.8607081543868</v>
      </c>
      <c r="Y81" s="31">
        <f t="shared" si="252"/>
        <v>181.16097004548413</v>
      </c>
      <c r="Z81" s="31">
        <f t="shared" si="253"/>
        <v>174.44851219515863</v>
      </c>
      <c r="AA81" s="31">
        <f t="shared" si="254"/>
        <v>167.72383632481558</v>
      </c>
      <c r="AB81" s="31">
        <f t="shared" si="255"/>
        <v>160.98757801410761</v>
      </c>
      <c r="AC81" s="31">
        <f t="shared" si="256"/>
        <v>154.24049973657461</v>
      </c>
      <c r="AD81" s="31">
        <f t="shared" si="257"/>
        <v>147.48348250525919</v>
      </c>
      <c r="AE81" s="31">
        <f t="shared" si="258"/>
        <v>140.71751621985464</v>
      </c>
      <c r="AF81" s="31">
        <f t="shared" si="259"/>
        <v>133.94368882115688</v>
      </c>
      <c r="AG81" s="31">
        <f t="shared" si="260"/>
        <v>127.16317437164604</v>
      </c>
      <c r="AH81" s="31">
        <f t="shared" si="261"/>
        <v>120.37722019277714</v>
      </c>
      <c r="AI81" s="31">
        <f t="shared" si="262"/>
        <v>113.58713319988163</v>
      </c>
      <c r="AJ81" s="31">
        <f t="shared" si="263"/>
        <v>106.79426558436147</v>
      </c>
      <c r="AK81" s="30">
        <f t="shared" si="141"/>
        <v>100</v>
      </c>
      <c r="AL81" s="36"/>
      <c r="AM81" s="21">
        <v>7.6666666666666675E-2</v>
      </c>
      <c r="AN81" s="17">
        <f t="shared" si="142"/>
        <v>-1076400000</v>
      </c>
      <c r="AO81" s="19">
        <f t="shared" si="143"/>
        <v>-1052937845.9775593</v>
      </c>
      <c r="AP81" s="19">
        <f t="shared" si="144"/>
        <v>-1029470675.5853356</v>
      </c>
      <c r="AQ81" s="19">
        <f t="shared" si="145"/>
        <v>-1005993527.4189011</v>
      </c>
      <c r="AR81" s="19">
        <f t="shared" si="146"/>
        <v>-982501549.40210903</v>
      </c>
      <c r="AS81" s="19">
        <f t="shared" si="147"/>
        <v>-958990051.951774</v>
      </c>
      <c r="AT81" s="19">
        <f t="shared" si="148"/>
        <v>-935454559.36143005</v>
      </c>
      <c r="AU81" s="19">
        <f t="shared" si="149"/>
        <v>-911890858.84103811</v>
      </c>
      <c r="AV81" s="19">
        <f t="shared" si="150"/>
        <v>-888295046.67522371</v>
      </c>
      <c r="AW81" s="19">
        <f t="shared" si="151"/>
        <v>-864663570.99423504</v>
      </c>
      <c r="AX81" s="19">
        <f t="shared" si="152"/>
        <v>-840993270.68897116</v>
      </c>
      <c r="AY81" s="19">
        <f t="shared" si="153"/>
        <v>-817281410.04371929</v>
      </c>
      <c r="AZ81" s="19">
        <f t="shared" si="154"/>
        <v>-793525708.70719981</v>
      </c>
      <c r="BA81" s="19">
        <f t="shared" si="155"/>
        <v>-769724366.67364252</v>
      </c>
      <c r="BB81" s="19">
        <f t="shared" si="156"/>
        <v>-745876084.00032151</v>
      </c>
      <c r="BC81" s="19">
        <f t="shared" si="157"/>
        <v>-721980075.04568207</v>
      </c>
      <c r="BD81" s="19">
        <f t="shared" si="158"/>
        <v>-698036077.07225311</v>
      </c>
      <c r="BE81" s="19">
        <f t="shared" si="159"/>
        <v>-674044353.12029588</v>
      </c>
      <c r="BF81" s="19">
        <f t="shared" si="160"/>
        <v>-650005689.12092078</v>
      </c>
      <c r="BG81" s="19">
        <f t="shared" si="161"/>
        <v>-625921385.28052235</v>
      </c>
      <c r="BH81" s="19">
        <f t="shared" si="162"/>
        <v>-601793241.83112693</v>
      </c>
      <c r="BI81" s="19">
        <f t="shared" si="163"/>
        <v>-577623539.30296946</v>
      </c>
      <c r="BJ81" s="19">
        <f t="shared" si="164"/>
        <v>-553415013.53559732</v>
      </c>
      <c r="BK81" s="19">
        <f t="shared" si="165"/>
        <v>-529170825.70141149</v>
      </c>
      <c r="BL81" s="19">
        <f t="shared" si="166"/>
        <v>-504894527.67016381</v>
      </c>
      <c r="BM81" s="19">
        <f t="shared" si="167"/>
        <v>-480590023.09392887</v>
      </c>
      <c r="BN81" s="19">
        <f t="shared" si="168"/>
        <v>-456261524.63891131</v>
      </c>
      <c r="BO81" s="19">
        <f t="shared" si="169"/>
        <v>-431913507.83262122</v>
      </c>
      <c r="BP81" s="19">
        <f t="shared" si="170"/>
        <v>-407550662.03198826</v>
      </c>
      <c r="BQ81" s="19">
        <f t="shared" si="171"/>
        <v>-383177839.04949063</v>
      </c>
      <c r="BR81" s="17">
        <f t="shared" si="172"/>
        <v>-358800000</v>
      </c>
      <c r="BT81" s="33"/>
      <c r="BU81" s="21">
        <v>7.6666666666666675E-2</v>
      </c>
      <c r="BV81" s="17">
        <f t="shared" si="173"/>
        <v>0.40647187995004247</v>
      </c>
      <c r="BW81" s="19">
        <f t="shared" si="174"/>
        <v>0.40647187995004247</v>
      </c>
      <c r="BX81" s="19">
        <f t="shared" si="175"/>
        <v>0.40647187995004247</v>
      </c>
      <c r="BY81" s="19">
        <f t="shared" si="176"/>
        <v>0.40647187995004247</v>
      </c>
      <c r="BZ81" s="19">
        <f t="shared" si="177"/>
        <v>0.40647187995004247</v>
      </c>
      <c r="CA81" s="19">
        <f t="shared" si="178"/>
        <v>0.40647187995004247</v>
      </c>
      <c r="CB81" s="19">
        <f t="shared" si="179"/>
        <v>0.40647187995004247</v>
      </c>
      <c r="CC81" s="19">
        <f t="shared" si="180"/>
        <v>0.40647187995004247</v>
      </c>
      <c r="CD81" s="19">
        <f t="shared" si="181"/>
        <v>0.40647187995004247</v>
      </c>
      <c r="CE81" s="19">
        <f t="shared" si="182"/>
        <v>0.40647187995004247</v>
      </c>
      <c r="CF81" s="19">
        <f t="shared" si="183"/>
        <v>0.40647187995004247</v>
      </c>
      <c r="CG81" s="19">
        <f t="shared" si="184"/>
        <v>0.40647187995004247</v>
      </c>
      <c r="CH81" s="19">
        <f t="shared" si="185"/>
        <v>0.40647187995004247</v>
      </c>
      <c r="CI81" s="19">
        <f t="shared" si="186"/>
        <v>0.40647187995004247</v>
      </c>
      <c r="CJ81" s="19">
        <f t="shared" si="187"/>
        <v>0.40647187995004247</v>
      </c>
      <c r="CK81" s="19">
        <f t="shared" si="188"/>
        <v>0.40647187995004247</v>
      </c>
      <c r="CL81" s="19">
        <f t="shared" si="189"/>
        <v>0.40647187995004247</v>
      </c>
      <c r="CM81" s="19">
        <f t="shared" si="190"/>
        <v>0.40647187995004247</v>
      </c>
      <c r="CN81" s="19">
        <f t="shared" si="191"/>
        <v>0.40647187995004247</v>
      </c>
      <c r="CO81" s="19">
        <f t="shared" si="192"/>
        <v>0.40647187995004247</v>
      </c>
      <c r="CP81" s="19">
        <f t="shared" si="193"/>
        <v>0.40647187995004247</v>
      </c>
      <c r="CQ81" s="19">
        <f t="shared" si="194"/>
        <v>0.40647187995004247</v>
      </c>
      <c r="CR81" s="19">
        <f t="shared" si="195"/>
        <v>0.40647187995004247</v>
      </c>
      <c r="CS81" s="19">
        <f t="shared" si="196"/>
        <v>0.40647187995004247</v>
      </c>
      <c r="CT81" s="19">
        <f t="shared" si="197"/>
        <v>0.40647187995004247</v>
      </c>
      <c r="CU81" s="19">
        <f t="shared" si="198"/>
        <v>0.40647187995004247</v>
      </c>
      <c r="CV81" s="19">
        <f t="shared" si="199"/>
        <v>0.40647187995004247</v>
      </c>
      <c r="CW81" s="19">
        <f t="shared" si="200"/>
        <v>0.40647187995004247</v>
      </c>
      <c r="CX81" s="19">
        <f t="shared" si="201"/>
        <v>0.40647187995004247</v>
      </c>
      <c r="CY81" s="19">
        <f t="shared" si="202"/>
        <v>0.40647187995004247</v>
      </c>
      <c r="CZ81" s="17">
        <f t="shared" si="203"/>
        <v>0.40647187995004247</v>
      </c>
      <c r="DB81" s="33"/>
      <c r="DC81" s="21">
        <v>7.6666666666666675E-2</v>
      </c>
      <c r="DD81" s="17">
        <f t="shared" si="204"/>
        <v>178.05843601498725</v>
      </c>
      <c r="DE81" s="19">
        <f t="shared" si="205"/>
        <v>174.17730639461507</v>
      </c>
      <c r="DF81" s="19">
        <f t="shared" si="206"/>
        <v>170.2953471019087</v>
      </c>
      <c r="DG81" s="19">
        <f t="shared" si="207"/>
        <v>166.41173755541587</v>
      </c>
      <c r="DH81" s="19">
        <f t="shared" si="208"/>
        <v>162.5256752558106</v>
      </c>
      <c r="DI81" s="19">
        <f t="shared" si="209"/>
        <v>158.63638457895647</v>
      </c>
      <c r="DJ81" s="19">
        <f t="shared" si="210"/>
        <v>154.74312527441799</v>
      </c>
      <c r="DK81" s="19">
        <f t="shared" si="211"/>
        <v>150.84520057628305</v>
      </c>
      <c r="DL81" s="19">
        <f t="shared" si="212"/>
        <v>146.94196483741064</v>
      </c>
      <c r="DM81" s="19">
        <f t="shared" si="213"/>
        <v>143.03283060344711</v>
      </c>
      <c r="DN81" s="19">
        <f t="shared" si="214"/>
        <v>139.11727504909879</v>
      </c>
      <c r="DO81" s="19">
        <f t="shared" si="215"/>
        <v>135.19484570614463</v>
      </c>
      <c r="DP81" s="19">
        <f t="shared" si="216"/>
        <v>131.26516542043774</v>
      </c>
      <c r="DQ81" s="19">
        <f t="shared" si="217"/>
        <v>127.32793648360177</v>
      </c>
      <c r="DR81" s="19">
        <f t="shared" si="218"/>
        <v>123.3829438941749</v>
      </c>
      <c r="DS81" s="19">
        <f t="shared" si="219"/>
        <v>119.43005771249814</v>
      </c>
      <c r="DT81" s="19">
        <f t="shared" si="220"/>
        <v>115.46923448357936</v>
      </c>
      <c r="DU81" s="19">
        <f t="shared" si="221"/>
        <v>111.5005177123768</v>
      </c>
      <c r="DV81" s="19">
        <f t="shared" si="222"/>
        <v>107.52403738633167</v>
      </c>
      <c r="DW81" s="19">
        <f t="shared" si="223"/>
        <v>103.5400085504161</v>
      </c>
      <c r="DX81" s="19">
        <f t="shared" si="224"/>
        <v>99.548728950342962</v>
      </c>
      <c r="DY81" s="19">
        <f t="shared" si="225"/>
        <v>95.550575769790186</v>
      </c>
      <c r="DZ81" s="19">
        <f t="shared" si="226"/>
        <v>91.546001497413926</v>
      </c>
      <c r="EA81" s="19">
        <f t="shared" si="227"/>
        <v>87.535528968953514</v>
      </c>
      <c r="EB81" s="19">
        <f t="shared" si="228"/>
        <v>83.519745638762657</v>
      </c>
      <c r="EC81" s="19">
        <f t="shared" si="229"/>
        <v>79.499297143536623</v>
      </c>
      <c r="ED81" s="19">
        <f t="shared" si="230"/>
        <v>75.474880228752539</v>
      </c>
      <c r="EE81" s="19">
        <f t="shared" si="231"/>
        <v>71.44723511531474</v>
      </c>
      <c r="EF81" s="19">
        <f t="shared" si="232"/>
        <v>67.417137390023186</v>
      </c>
      <c r="EG81" s="19">
        <f t="shared" si="233"/>
        <v>63.385389508693514</v>
      </c>
      <c r="EH81" s="17">
        <f t="shared" si="234"/>
        <v>59.352812004995762</v>
      </c>
    </row>
    <row r="82" spans="5:138" x14ac:dyDescent="0.25">
      <c r="E82" s="35"/>
      <c r="F82" s="21">
        <v>7.3333333333333334E-2</v>
      </c>
      <c r="G82" s="30">
        <f t="shared" si="139"/>
        <v>300</v>
      </c>
      <c r="H82" s="31">
        <f t="shared" si="235"/>
        <v>293.46090572678656</v>
      </c>
      <c r="I82" s="31">
        <f t="shared" si="236"/>
        <v>286.92041371223479</v>
      </c>
      <c r="J82" s="31">
        <f t="shared" si="237"/>
        <v>280.37714153032982</v>
      </c>
      <c r="K82" s="31">
        <f t="shared" si="238"/>
        <v>273.82973721784515</v>
      </c>
      <c r="L82" s="31">
        <f t="shared" si="239"/>
        <v>267.27689408793356</v>
      </c>
      <c r="M82" s="31">
        <f t="shared" si="240"/>
        <v>260.7173650474906</v>
      </c>
      <c r="N82" s="31">
        <f t="shared" si="241"/>
        <v>254.14997626138063</v>
      </c>
      <c r="O82" s="31">
        <f t="shared" si="242"/>
        <v>247.57364001378409</v>
      </c>
      <c r="P82" s="31">
        <f t="shared" si="243"/>
        <v>240.98736662572688</v>
      </c>
      <c r="Q82" s="31">
        <f t="shared" si="244"/>
        <v>234.39027529821021</v>
      </c>
      <c r="R82" s="31">
        <f t="shared" si="245"/>
        <v>227.78160376214146</v>
      </c>
      <c r="S82" s="31">
        <f t="shared" si="246"/>
        <v>221.16071662935036</v>
      </c>
      <c r="T82" s="31">
        <f t="shared" si="247"/>
        <v>214.5271123532213</v>
      </c>
      <c r="U82" s="31">
        <f t="shared" si="248"/>
        <v>207.88042872271424</v>
      </c>
      <c r="V82" s="31">
        <f t="shared" si="249"/>
        <v>201.22044682962596</v>
      </c>
      <c r="W82" s="31">
        <f t="shared" si="250"/>
        <v>194.54709346567756</v>
      </c>
      <c r="X82" s="31">
        <f t="shared" si="251"/>
        <v>187.86044192322302</v>
      </c>
      <c r="Y82" s="31">
        <f t="shared" si="252"/>
        <v>181.16071119086612</v>
      </c>
      <c r="Z82" s="31">
        <f t="shared" si="253"/>
        <v>174.44826355285915</v>
      </c>
      <c r="AA82" s="31">
        <f t="shared" si="254"/>
        <v>167.72360061864168</v>
      </c>
      <c r="AB82" s="31">
        <f t="shared" si="255"/>
        <v>160.98735782607434</v>
      </c>
      <c r="AC82" s="31">
        <f t="shared" si="256"/>
        <v>154.24029747863469</v>
      </c>
      <c r="AD82" s="31">
        <f t="shared" si="257"/>
        <v>147.48330039289783</v>
      </c>
      <c r="AE82" s="31">
        <f t="shared" si="258"/>
        <v>140.71735624783787</v>
      </c>
      <c r="AF82" s="31">
        <f t="shared" si="259"/>
        <v>133.94355274169811</v>
      </c>
      <c r="AG82" s="31">
        <f t="shared" si="260"/>
        <v>127.16306367522917</v>
      </c>
      <c r="AH82" s="31">
        <f t="shared" si="261"/>
        <v>120.37713609184533</v>
      </c>
      <c r="AI82" s="31">
        <f t="shared" si="262"/>
        <v>113.58707661556966</v>
      </c>
      <c r="AJ82" s="31">
        <f t="shared" si="263"/>
        <v>106.79423713641643</v>
      </c>
      <c r="AK82" s="30">
        <f t="shared" si="141"/>
        <v>100</v>
      </c>
      <c r="AL82" s="36"/>
      <c r="AM82" s="21">
        <v>7.3333333333333334E-2</v>
      </c>
      <c r="AN82" s="17">
        <f t="shared" si="142"/>
        <v>-1076400000</v>
      </c>
      <c r="AO82" s="19">
        <f t="shared" si="143"/>
        <v>-1052937742.5023977</v>
      </c>
      <c r="AP82" s="19">
        <f t="shared" si="144"/>
        <v>-1029470469.7690845</v>
      </c>
      <c r="AQ82" s="19">
        <f t="shared" si="145"/>
        <v>-1005993221.5172625</v>
      </c>
      <c r="AR82" s="19">
        <f t="shared" si="146"/>
        <v>-982501146.76766956</v>
      </c>
      <c r="AS82" s="19">
        <f t="shared" si="147"/>
        <v>-958989556.99722624</v>
      </c>
      <c r="AT82" s="19">
        <f t="shared" si="148"/>
        <v>-935453977.51116753</v>
      </c>
      <c r="AU82" s="19">
        <f t="shared" si="149"/>
        <v>-911890196.47165596</v>
      </c>
      <c r="AV82" s="19">
        <f t="shared" si="150"/>
        <v>-888294311.04557943</v>
      </c>
      <c r="AW82" s="19">
        <f t="shared" si="151"/>
        <v>-864662770.16584182</v>
      </c>
      <c r="AX82" s="19">
        <f t="shared" si="152"/>
        <v>-840992413.43759429</v>
      </c>
      <c r="AY82" s="19">
        <f t="shared" si="153"/>
        <v>-817280505.76315212</v>
      </c>
      <c r="AZ82" s="19">
        <f t="shared" si="154"/>
        <v>-793524767.30627465</v>
      </c>
      <c r="BA82" s="19">
        <f t="shared" si="155"/>
        <v>-769723398.46760917</v>
      </c>
      <c r="BB82" s="19">
        <f t="shared" si="156"/>
        <v>-745875099.59778428</v>
      </c>
      <c r="BC82" s="19">
        <f t="shared" si="157"/>
        <v>-721979085.23233759</v>
      </c>
      <c r="BD82" s="19">
        <f t="shared" si="158"/>
        <v>-698035092.69270349</v>
      </c>
      <c r="BE82" s="19">
        <f t="shared" si="159"/>
        <v>-674043384.95923281</v>
      </c>
      <c r="BF82" s="19">
        <f t="shared" si="160"/>
        <v>-650004747.7849834</v>
      </c>
      <c r="BG82" s="19">
        <f t="shared" si="161"/>
        <v>-625920481.08211994</v>
      </c>
      <c r="BH82" s="19">
        <f t="shared" si="162"/>
        <v>-601792384.67550087</v>
      </c>
      <c r="BI82" s="19">
        <f t="shared" si="163"/>
        <v>-577622738.57972848</v>
      </c>
      <c r="BJ82" s="19">
        <f t="shared" si="164"/>
        <v>-553414278.01591098</v>
      </c>
      <c r="BK82" s="19">
        <f t="shared" si="165"/>
        <v>-529170163.44198686</v>
      </c>
      <c r="BL82" s="19">
        <f t="shared" si="166"/>
        <v>-504893945.92505336</v>
      </c>
      <c r="BM82" s="19">
        <f t="shared" si="167"/>
        <v>-480589528.23513186</v>
      </c>
      <c r="BN82" s="19">
        <f t="shared" si="168"/>
        <v>-456261122.08663648</v>
      </c>
      <c r="BO82" s="19">
        <f t="shared" si="169"/>
        <v>-431913201.99597019</v>
      </c>
      <c r="BP82" s="19">
        <f t="shared" si="170"/>
        <v>-407550456.2607072</v>
      </c>
      <c r="BQ82" s="19">
        <f t="shared" si="171"/>
        <v>-383177735.5973165</v>
      </c>
      <c r="BR82" s="17">
        <f t="shared" si="172"/>
        <v>-358800000</v>
      </c>
      <c r="BT82" s="33"/>
      <c r="BU82" s="21">
        <v>7.3333333333333334E-2</v>
      </c>
      <c r="BV82" s="17">
        <f t="shared" si="173"/>
        <v>0.40647187995004247</v>
      </c>
      <c r="BW82" s="19">
        <f t="shared" si="174"/>
        <v>0.40647187995004247</v>
      </c>
      <c r="BX82" s="19">
        <f t="shared" si="175"/>
        <v>0.40647187995004247</v>
      </c>
      <c r="BY82" s="19">
        <f t="shared" si="176"/>
        <v>0.40647187995004247</v>
      </c>
      <c r="BZ82" s="19">
        <f t="shared" si="177"/>
        <v>0.40647187995004247</v>
      </c>
      <c r="CA82" s="19">
        <f t="shared" si="178"/>
        <v>0.40647187995004247</v>
      </c>
      <c r="CB82" s="19">
        <f t="shared" si="179"/>
        <v>0.40647187995004247</v>
      </c>
      <c r="CC82" s="19">
        <f t="shared" si="180"/>
        <v>0.40647187995004247</v>
      </c>
      <c r="CD82" s="19">
        <f t="shared" si="181"/>
        <v>0.40647187995004247</v>
      </c>
      <c r="CE82" s="19">
        <f t="shared" si="182"/>
        <v>0.40647187995004247</v>
      </c>
      <c r="CF82" s="19">
        <f t="shared" si="183"/>
        <v>0.40647187995004247</v>
      </c>
      <c r="CG82" s="19">
        <f t="shared" si="184"/>
        <v>0.40647187995004247</v>
      </c>
      <c r="CH82" s="19">
        <f t="shared" si="185"/>
        <v>0.40647187995004247</v>
      </c>
      <c r="CI82" s="19">
        <f t="shared" si="186"/>
        <v>0.40647187995004247</v>
      </c>
      <c r="CJ82" s="19">
        <f t="shared" si="187"/>
        <v>0.40647187995004247</v>
      </c>
      <c r="CK82" s="19">
        <f t="shared" si="188"/>
        <v>0.40647187995004247</v>
      </c>
      <c r="CL82" s="19">
        <f t="shared" si="189"/>
        <v>0.40647187995004247</v>
      </c>
      <c r="CM82" s="19">
        <f t="shared" si="190"/>
        <v>0.40647187995004247</v>
      </c>
      <c r="CN82" s="19">
        <f t="shared" si="191"/>
        <v>0.40647187995004247</v>
      </c>
      <c r="CO82" s="19">
        <f t="shared" si="192"/>
        <v>0.40647187995004247</v>
      </c>
      <c r="CP82" s="19">
        <f t="shared" si="193"/>
        <v>0.40647187995004247</v>
      </c>
      <c r="CQ82" s="19">
        <f t="shared" si="194"/>
        <v>0.40647187995004247</v>
      </c>
      <c r="CR82" s="19">
        <f t="shared" si="195"/>
        <v>0.40647187995004247</v>
      </c>
      <c r="CS82" s="19">
        <f t="shared" si="196"/>
        <v>0.40647187995004247</v>
      </c>
      <c r="CT82" s="19">
        <f t="shared" si="197"/>
        <v>0.40647187995004247</v>
      </c>
      <c r="CU82" s="19">
        <f t="shared" si="198"/>
        <v>0.40647187995004247</v>
      </c>
      <c r="CV82" s="19">
        <f t="shared" si="199"/>
        <v>0.40647187995004247</v>
      </c>
      <c r="CW82" s="19">
        <f t="shared" si="200"/>
        <v>0.40647187995004247</v>
      </c>
      <c r="CX82" s="19">
        <f t="shared" si="201"/>
        <v>0.40647187995004247</v>
      </c>
      <c r="CY82" s="19">
        <f t="shared" si="202"/>
        <v>0.40647187995004247</v>
      </c>
      <c r="CZ82" s="17">
        <f t="shared" si="203"/>
        <v>0.40647187995004247</v>
      </c>
      <c r="DB82" s="33"/>
      <c r="DC82" s="21">
        <v>7.3333333333333334E-2</v>
      </c>
      <c r="DD82" s="17">
        <f t="shared" si="204"/>
        <v>178.05843601498725</v>
      </c>
      <c r="DE82" s="19">
        <f t="shared" si="205"/>
        <v>174.17728811831833</v>
      </c>
      <c r="DF82" s="19">
        <f t="shared" si="206"/>
        <v>170.29531074962063</v>
      </c>
      <c r="DG82" s="19">
        <f t="shared" si="207"/>
        <v>166.41168352554976</v>
      </c>
      <c r="DH82" s="19">
        <f t="shared" si="208"/>
        <v>162.52560414051698</v>
      </c>
      <c r="DI82" s="19">
        <f t="shared" si="209"/>
        <v>158.63629715762696</v>
      </c>
      <c r="DJ82" s="19">
        <f t="shared" si="210"/>
        <v>154.74302250513594</v>
      </c>
      <c r="DK82" s="19">
        <f t="shared" si="211"/>
        <v>150.84508358531428</v>
      </c>
      <c r="DL82" s="19">
        <f t="shared" si="212"/>
        <v>146.94183490685072</v>
      </c>
      <c r="DM82" s="19">
        <f>(DM83*$B$22-AW82)/($B$21-$B$22*CE83)</f>
        <v>143.03268915716046</v>
      </c>
      <c r="DN82" s="19">
        <f t="shared" si="214"/>
        <v>139.11712363710464</v>
      </c>
      <c r="DO82" s="19">
        <f t="shared" si="215"/>
        <v>135.19468598762137</v>
      </c>
      <c r="DP82" s="19">
        <f t="shared" si="216"/>
        <v>131.26499914553256</v>
      </c>
      <c r="DQ82" s="19">
        <f t="shared" si="217"/>
        <v>127.3277654742453</v>
      </c>
      <c r="DR82" s="19">
        <f t="shared" si="218"/>
        <v>123.38277002411147</v>
      </c>
      <c r="DS82" s="19">
        <f t="shared" si="219"/>
        <v>119.42988288675106</v>
      </c>
      <c r="DT82" s="19">
        <f t="shared" si="220"/>
        <v>115.46906061757608</v>
      </c>
      <c r="DU82" s="19">
        <f t="shared" si="221"/>
        <v>111.50034671096314</v>
      </c>
      <c r="DV82" s="19">
        <f t="shared" si="222"/>
        <v>107.52387112290485</v>
      </c>
      <c r="DW82" s="19">
        <f t="shared" si="223"/>
        <v>103.53984884640509</v>
      </c>
      <c r="DX82" s="19">
        <f t="shared" si="224"/>
        <v>99.548577555260678</v>
      </c>
      <c r="DY82" s="19">
        <f t="shared" si="225"/>
        <v>95.550434342075903</v>
      </c>
      <c r="DZ82" s="19">
        <f t="shared" si="226"/>
        <v>91.545871586275169</v>
      </c>
      <c r="EA82" s="19">
        <f t="shared" si="227"/>
        <v>87.535411997405916</v>
      </c>
      <c r="EB82" s="19">
        <f t="shared" si="228"/>
        <v>83.519642888052957</v>
      </c>
      <c r="EC82" s="19">
        <f t="shared" si="229"/>
        <v>79.499209739118982</v>
      </c>
      <c r="ED82" s="19">
        <f t="shared" si="230"/>
        <v>75.474809127971142</v>
      </c>
      <c r="EE82" s="19">
        <f t="shared" si="231"/>
        <v>71.447181096926997</v>
      </c>
      <c r="EF82" s="19">
        <f t="shared" si="232"/>
        <v>67.417101045677882</v>
      </c>
      <c r="EG82" s="19">
        <f t="shared" si="233"/>
        <v>63.385371236456891</v>
      </c>
      <c r="EH82" s="17">
        <f t="shared" si="234"/>
        <v>59.352812004995762</v>
      </c>
    </row>
    <row r="83" spans="5:138" x14ac:dyDescent="0.25">
      <c r="E83" s="35"/>
      <c r="F83" s="21">
        <v>7.0000000000000007E-2</v>
      </c>
      <c r="G83" s="30">
        <f t="shared" si="139"/>
        <v>300</v>
      </c>
      <c r="H83" s="31">
        <f t="shared" si="235"/>
        <v>293.46087419167787</v>
      </c>
      <c r="I83" s="31">
        <f t="shared" si="236"/>
        <v>286.92035098763733</v>
      </c>
      <c r="J83" s="31">
        <f t="shared" si="237"/>
        <v>280.37704830369182</v>
      </c>
      <c r="K83" s="31">
        <f t="shared" si="238"/>
        <v>273.82961451090148</v>
      </c>
      <c r="L83" s="31">
        <f t="shared" si="239"/>
        <v>267.27674324549719</v>
      </c>
      <c r="M83" s="31">
        <f t="shared" si="240"/>
        <v>260.71718772270066</v>
      </c>
      <c r="N83" s="31">
        <f t="shared" si="241"/>
        <v>254.14977439756933</v>
      </c>
      <c r="O83" s="31">
        <f t="shared" si="242"/>
        <v>247.57341582316232</v>
      </c>
      <c r="P83" s="31">
        <f t="shared" si="243"/>
        <v>240.98712256512272</v>
      </c>
      <c r="Q83" s="31">
        <f t="shared" si="244"/>
        <v>234.39001404212743</v>
      </c>
      <c r="R83" s="31">
        <f t="shared" si="245"/>
        <v>227.78132817343422</v>
      </c>
      <c r="S83" s="31">
        <f t="shared" si="246"/>
        <v>221.16042972783615</v>
      </c>
      <c r="T83" s="31">
        <f t="shared" si="247"/>
        <v>214.52681728257744</v>
      </c>
      <c r="U83" s="31">
        <f t="shared" si="248"/>
        <v>207.88012871602098</v>
      </c>
      <c r="V83" s="31">
        <f t="shared" si="249"/>
        <v>201.22014517393404</v>
      </c>
      <c r="W83" s="31">
        <f t="shared" si="250"/>
        <v>194.54679346598982</v>
      </c>
      <c r="X83" s="31">
        <f t="shared" si="251"/>
        <v>187.8601468662842</v>
      </c>
      <c r="Y83" s="31">
        <f t="shared" si="252"/>
        <v>181.16042430915735</v>
      </c>
      <c r="Z83" s="31">
        <f t="shared" si="253"/>
        <v>174.44798798919211</v>
      </c>
      <c r="AA83" s="31">
        <f t="shared" si="254"/>
        <v>167.72333939173961</v>
      </c>
      <c r="AB83" s="31">
        <f t="shared" si="255"/>
        <v>160.987113797516</v>
      </c>
      <c r="AC83" s="31">
        <f t="shared" si="256"/>
        <v>154.24007332152331</v>
      </c>
      <c r="AD83" s="31">
        <f t="shared" si="257"/>
        <v>147.48309856259692</v>
      </c>
      <c r="AE83" s="31">
        <f t="shared" si="258"/>
        <v>140.71717895509374</v>
      </c>
      <c r="AF83" s="31">
        <f t="shared" si="259"/>
        <v>133.94340192844246</v>
      </c>
      <c r="AG83" s="31">
        <f t="shared" si="260"/>
        <v>127.16294099332576</v>
      </c>
      <c r="AH83" s="31">
        <f t="shared" si="261"/>
        <v>120.37704288501274</v>
      </c>
      <c r="AI83" s="31">
        <f t="shared" si="262"/>
        <v>113.58701390467715</v>
      </c>
      <c r="AJ83" s="31">
        <f t="shared" si="263"/>
        <v>106.79420560831328</v>
      </c>
      <c r="AK83" s="30">
        <f t="shared" si="141"/>
        <v>100</v>
      </c>
      <c r="AL83" s="36"/>
      <c r="AM83" s="21">
        <v>7.0000000000000007E-2</v>
      </c>
      <c r="AN83" s="17">
        <f t="shared" si="142"/>
        <v>-1076400000</v>
      </c>
      <c r="AO83" s="19">
        <f t="shared" si="143"/>
        <v>-1052937627.8236383</v>
      </c>
      <c r="AP83" s="19">
        <f t="shared" si="144"/>
        <v>-1029470241.6684269</v>
      </c>
      <c r="AQ83" s="19">
        <f t="shared" si="145"/>
        <v>-1005992882.4946414</v>
      </c>
      <c r="AR83" s="19">
        <f t="shared" si="146"/>
        <v>-982500700.53866744</v>
      </c>
      <c r="AS83" s="19">
        <f t="shared" si="147"/>
        <v>-958989008.45231235</v>
      </c>
      <c r="AT83" s="19">
        <f t="shared" si="148"/>
        <v>-935453332.66205227</v>
      </c>
      <c r="AU83" s="19">
        <f t="shared" si="149"/>
        <v>-911889462.38534927</v>
      </c>
      <c r="AV83" s="19">
        <f t="shared" si="150"/>
        <v>-888293495.76688039</v>
      </c>
      <c r="AW83" s="19">
        <f t="shared" si="151"/>
        <v>-864661882.6291095</v>
      </c>
      <c r="AX83" s="19">
        <f t="shared" si="152"/>
        <v>-840991463.36877513</v>
      </c>
      <c r="AY83" s="19">
        <f t="shared" si="153"/>
        <v>-817279503.57313645</v>
      </c>
      <c r="AZ83" s="19">
        <f t="shared" si="154"/>
        <v>-793523723.97675705</v>
      </c>
      <c r="BA83" s="19">
        <f t="shared" si="155"/>
        <v>-769722325.43070543</v>
      </c>
      <c r="BB83" s="19">
        <f t="shared" si="156"/>
        <v>-745874008.61072731</v>
      </c>
      <c r="BC83" s="19">
        <f t="shared" si="157"/>
        <v>-721977988.24862719</v>
      </c>
      <c r="BD83" s="19">
        <f t="shared" si="158"/>
        <v>-698034001.73112261</v>
      </c>
      <c r="BE83" s="19">
        <f t="shared" si="159"/>
        <v>-674042311.97216797</v>
      </c>
      <c r="BF83" s="19">
        <f t="shared" si="160"/>
        <v>-650003704.52748907</v>
      </c>
      <c r="BG83" s="19">
        <f t="shared" si="161"/>
        <v>-625919478.98316443</v>
      </c>
      <c r="BH83" s="19">
        <f t="shared" si="162"/>
        <v>-601791434.71279883</v>
      </c>
      <c r="BI83" s="19">
        <f t="shared" si="163"/>
        <v>-577621851.15953243</v>
      </c>
      <c r="BJ83" s="19">
        <f t="shared" si="164"/>
        <v>-553413462.859074</v>
      </c>
      <c r="BK83" s="19">
        <f t="shared" si="165"/>
        <v>-529169429.47754258</v>
      </c>
      <c r="BL83" s="19">
        <f t="shared" si="166"/>
        <v>-504893301.19247442</v>
      </c>
      <c r="BM83" s="19">
        <f t="shared" si="167"/>
        <v>-480588979.79633516</v>
      </c>
      <c r="BN83" s="19">
        <f t="shared" si="168"/>
        <v>-456260675.94869471</v>
      </c>
      <c r="BO83" s="19">
        <f t="shared" si="169"/>
        <v>-431912863.04537272</v>
      </c>
      <c r="BP83" s="19">
        <f t="shared" si="170"/>
        <v>-407550228.20988858</v>
      </c>
      <c r="BQ83" s="19">
        <f t="shared" si="171"/>
        <v>-383177620.94403309</v>
      </c>
      <c r="BR83" s="17">
        <f t="shared" si="172"/>
        <v>-358800000</v>
      </c>
      <c r="BT83" s="33"/>
      <c r="BU83" s="21">
        <v>7.0000000000000007E-2</v>
      </c>
      <c r="BV83" s="17">
        <f t="shared" si="173"/>
        <v>0.40647187995004247</v>
      </c>
      <c r="BW83" s="19">
        <f t="shared" si="174"/>
        <v>0.40647187995004247</v>
      </c>
      <c r="BX83" s="19">
        <f t="shared" si="175"/>
        <v>0.40647187995004247</v>
      </c>
      <c r="BY83" s="19">
        <f t="shared" si="176"/>
        <v>0.40647187995004247</v>
      </c>
      <c r="BZ83" s="19">
        <f t="shared" si="177"/>
        <v>0.40647187995004247</v>
      </c>
      <c r="CA83" s="19">
        <f t="shared" si="178"/>
        <v>0.40647187995004247</v>
      </c>
      <c r="CB83" s="19">
        <f t="shared" si="179"/>
        <v>0.40647187995004247</v>
      </c>
      <c r="CC83" s="19">
        <f t="shared" si="180"/>
        <v>0.40647187995004247</v>
      </c>
      <c r="CD83" s="19">
        <f t="shared" si="181"/>
        <v>0.40647187995004247</v>
      </c>
      <c r="CE83" s="19">
        <f t="shared" si="182"/>
        <v>0.40647187995004247</v>
      </c>
      <c r="CF83" s="19">
        <f t="shared" si="183"/>
        <v>0.40647187995004247</v>
      </c>
      <c r="CG83" s="19">
        <f t="shared" si="184"/>
        <v>0.40647187995004247</v>
      </c>
      <c r="CH83" s="19">
        <f t="shared" si="185"/>
        <v>0.40647187995004247</v>
      </c>
      <c r="CI83" s="19">
        <f t="shared" si="186"/>
        <v>0.40647187995004247</v>
      </c>
      <c r="CJ83" s="19">
        <f t="shared" si="187"/>
        <v>0.40647187995004247</v>
      </c>
      <c r="CK83" s="19">
        <f t="shared" si="188"/>
        <v>0.40647187995004247</v>
      </c>
      <c r="CL83" s="19">
        <f t="shared" si="189"/>
        <v>0.40647187995004247</v>
      </c>
      <c r="CM83" s="19">
        <f t="shared" si="190"/>
        <v>0.40647187995004247</v>
      </c>
      <c r="CN83" s="19">
        <f t="shared" si="191"/>
        <v>0.40647187995004247</v>
      </c>
      <c r="CO83" s="19">
        <f t="shared" si="192"/>
        <v>0.40647187995004247</v>
      </c>
      <c r="CP83" s="19">
        <f t="shared" si="193"/>
        <v>0.40647187995004247</v>
      </c>
      <c r="CQ83" s="19">
        <f t="shared" si="194"/>
        <v>0.40647187995004247</v>
      </c>
      <c r="CR83" s="19">
        <f t="shared" si="195"/>
        <v>0.40647187995004247</v>
      </c>
      <c r="CS83" s="19">
        <f t="shared" si="196"/>
        <v>0.40647187995004247</v>
      </c>
      <c r="CT83" s="19">
        <f t="shared" si="197"/>
        <v>0.40647187995004247</v>
      </c>
      <c r="CU83" s="19">
        <f t="shared" si="198"/>
        <v>0.40647187995004247</v>
      </c>
      <c r="CV83" s="19">
        <f t="shared" si="199"/>
        <v>0.40647187995004247</v>
      </c>
      <c r="CW83" s="19">
        <f t="shared" si="200"/>
        <v>0.40647187995004247</v>
      </c>
      <c r="CX83" s="19">
        <f t="shared" si="201"/>
        <v>0.40647187995004247</v>
      </c>
      <c r="CY83" s="19">
        <f t="shared" si="202"/>
        <v>0.40647187995004247</v>
      </c>
      <c r="CZ83" s="17">
        <f t="shared" si="203"/>
        <v>0.40647187995004247</v>
      </c>
      <c r="DB83" s="33"/>
      <c r="DC83" s="21">
        <v>7.0000000000000007E-2</v>
      </c>
      <c r="DD83" s="17">
        <f t="shared" si="204"/>
        <v>178.05843601498725</v>
      </c>
      <c r="DE83" s="19">
        <f t="shared" si="205"/>
        <v>174.17726814906874</v>
      </c>
      <c r="DF83" s="19">
        <f t="shared" si="206"/>
        <v>170.29527102998131</v>
      </c>
      <c r="DG83" s="19">
        <f t="shared" si="207"/>
        <v>166.4116244908395</v>
      </c>
      <c r="DH83" s="19">
        <f t="shared" si="208"/>
        <v>162.52552643773785</v>
      </c>
      <c r="DI83" s="19">
        <f t="shared" si="209"/>
        <v>158.63620163836646</v>
      </c>
      <c r="DJ83" s="19">
        <f t="shared" si="210"/>
        <v>154.74291021622565</v>
      </c>
      <c r="DK83" s="19">
        <f t="shared" si="211"/>
        <v>150.84495575734729</v>
      </c>
      <c r="DL83" s="19">
        <f t="shared" si="212"/>
        <v>146.94169294068445</v>
      </c>
      <c r="DM83" s="19">
        <f t="shared" si="213"/>
        <v>143.03253460855339</v>
      </c>
      <c r="DN83" s="19">
        <f t="shared" si="214"/>
        <v>139.11695819965593</v>
      </c>
      <c r="DO83" s="19">
        <f t="shared" si="215"/>
        <v>135.19451147420091</v>
      </c>
      <c r="DP83" s="19">
        <f t="shared" si="216"/>
        <v>131.26481746840548</v>
      </c>
      <c r="DQ83" s="19">
        <f t="shared" si="217"/>
        <v>127.32757862410962</v>
      </c>
      <c r="DR83" s="19">
        <f t="shared" si="218"/>
        <v>123.3825800482785</v>
      </c>
      <c r="DS83" s="19">
        <f t="shared" si="219"/>
        <v>119.42969186670841</v>
      </c>
      <c r="DT83" s="19">
        <f t="shared" si="220"/>
        <v>115.46887064617925</v>
      </c>
      <c r="DU83" s="19">
        <f t="shared" si="221"/>
        <v>111.50015986950596</v>
      </c>
      <c r="DV83" s="19">
        <f t="shared" si="222"/>
        <v>107.52368945831928</v>
      </c>
      <c r="DW83" s="19">
        <f t="shared" si="223"/>
        <v>103.53967434884098</v>
      </c>
      <c r="DX83" s="19">
        <f t="shared" si="224"/>
        <v>99.548412136290224</v>
      </c>
      <c r="DY83" s="19">
        <f t="shared" si="225"/>
        <v>95.550279813761378</v>
      </c>
      <c r="DZ83" s="19">
        <f t="shared" si="226"/>
        <v>91.545729641328862</v>
      </c>
      <c r="EA83" s="19">
        <f t="shared" si="227"/>
        <v>87.535284190658899</v>
      </c>
      <c r="EB83" s="19">
        <f t="shared" si="228"/>
        <v>83.51953061943523</v>
      </c>
      <c r="EC83" s="19">
        <f t="shared" si="229"/>
        <v>79.499114238336759</v>
      </c>
      <c r="ED83" s="19">
        <f t="shared" si="230"/>
        <v>75.474731441048405</v>
      </c>
      <c r="EE83" s="19">
        <f t="shared" si="231"/>
        <v>71.447122074758269</v>
      </c>
      <c r="EF83" s="19">
        <f t="shared" si="232"/>
        <v>67.417061334717047</v>
      </c>
      <c r="EG83" s="19">
        <f t="shared" si="233"/>
        <v>63.385351271643451</v>
      </c>
      <c r="EH83" s="17">
        <f t="shared" si="234"/>
        <v>59.352812004995748</v>
      </c>
    </row>
    <row r="84" spans="5:138" x14ac:dyDescent="0.25">
      <c r="E84" s="35"/>
      <c r="F84" s="21">
        <v>6.6666666666666666E-2</v>
      </c>
      <c r="G84" s="30">
        <f t="shared" si="139"/>
        <v>300</v>
      </c>
      <c r="H84" s="31">
        <f t="shared" si="235"/>
        <v>293.46083994548258</v>
      </c>
      <c r="I84" s="31">
        <f t="shared" si="236"/>
        <v>286.92028287057991</v>
      </c>
      <c r="J84" s="31">
        <f t="shared" si="237"/>
        <v>280.37694706232065</v>
      </c>
      <c r="K84" s="31">
        <f t="shared" si="238"/>
        <v>273.82948125479038</v>
      </c>
      <c r="L84" s="31">
        <f t="shared" si="239"/>
        <v>267.2765794350733</v>
      </c>
      <c r="M84" s="31">
        <f t="shared" si="240"/>
        <v>260.7169951532241</v>
      </c>
      <c r="N84" s="31">
        <f t="shared" si="241"/>
        <v>254.14955517944151</v>
      </c>
      <c r="O84" s="31">
        <f t="shared" si="242"/>
        <v>247.57317235877872</v>
      </c>
      <c r="P84" s="31">
        <f t="shared" si="243"/>
        <v>240.98685752252595</v>
      </c>
      <c r="Q84" s="31">
        <f t="shared" si="244"/>
        <v>234.3897303257495</v>
      </c>
      <c r="R84" s="31">
        <f t="shared" si="245"/>
        <v>227.78102889225005</v>
      </c>
      <c r="S84" s="31">
        <f t="shared" si="246"/>
        <v>221.16011816127826</v>
      </c>
      <c r="T84" s="31">
        <f t="shared" si="247"/>
        <v>214.5264968445864</v>
      </c>
      <c r="U84" s="31">
        <f t="shared" si="248"/>
        <v>207.87980291762619</v>
      </c>
      <c r="V84" s="31">
        <f t="shared" si="249"/>
        <v>201.21981758477546</v>
      </c>
      <c r="W84" s="31">
        <f t="shared" si="250"/>
        <v>194.54646767520282</v>
      </c>
      <c r="X84" s="31">
        <f t="shared" si="251"/>
        <v>187.85982644317622</v>
      </c>
      <c r="Y84" s="31">
        <f t="shared" si="252"/>
        <v>181.16011276410734</v>
      </c>
      <c r="Z84" s="31">
        <f t="shared" si="253"/>
        <v>174.44768873520064</v>
      </c>
      <c r="AA84" s="31">
        <f t="shared" si="254"/>
        <v>167.7230557070508</v>
      </c>
      <c r="AB84" s="31">
        <f t="shared" si="255"/>
        <v>160.98684878971974</v>
      </c>
      <c r="AC84" s="31">
        <f t="shared" si="256"/>
        <v>154.23982989353067</v>
      </c>
      <c r="AD84" s="31">
        <f t="shared" si="257"/>
        <v>147.48287938086003</v>
      </c>
      <c r="AE84" s="31">
        <f t="shared" si="258"/>
        <v>140.71698642041773</v>
      </c>
      <c r="AF84" s="31">
        <f t="shared" si="259"/>
        <v>133.94323814970767</v>
      </c>
      <c r="AG84" s="31">
        <f t="shared" si="260"/>
        <v>127.1628077644074</v>
      </c>
      <c r="AH84" s="31">
        <f t="shared" si="261"/>
        <v>120.37694166514947</v>
      </c>
      <c r="AI84" s="31">
        <f t="shared" si="262"/>
        <v>113.58694580250278</v>
      </c>
      <c r="AJ84" s="31">
        <f t="shared" si="263"/>
        <v>106.7941713697258</v>
      </c>
      <c r="AK84" s="30">
        <f t="shared" si="141"/>
        <v>100</v>
      </c>
      <c r="AL84" s="36"/>
      <c r="AM84" s="21">
        <v>6.6666666666666666E-2</v>
      </c>
      <c r="AN84" s="17">
        <f t="shared" si="142"/>
        <v>-1076400000</v>
      </c>
      <c r="AO84" s="19">
        <f t="shared" si="143"/>
        <v>-1052937503.285919</v>
      </c>
      <c r="AP84" s="19">
        <f t="shared" si="144"/>
        <v>-1029469993.9579026</v>
      </c>
      <c r="AQ84" s="19">
        <f t="shared" si="145"/>
        <v>-1005992514.3261669</v>
      </c>
      <c r="AR84" s="19">
        <f t="shared" si="146"/>
        <v>-982500215.94725406</v>
      </c>
      <c r="AS84" s="19">
        <f t="shared" si="147"/>
        <v>-958988412.74886429</v>
      </c>
      <c r="AT84" s="19">
        <f t="shared" si="148"/>
        <v>-935452632.375108</v>
      </c>
      <c r="AU84" s="19">
        <f t="shared" si="149"/>
        <v>-911888665.18947148</v>
      </c>
      <c r="AV84" s="19">
        <f t="shared" si="150"/>
        <v>-888292610.39848077</v>
      </c>
      <c r="AW84" s="19">
        <f t="shared" si="151"/>
        <v>-864660918.79063654</v>
      </c>
      <c r="AX84" s="19">
        <f t="shared" si="152"/>
        <v>-840990431.62231708</v>
      </c>
      <c r="AY84" s="19">
        <f t="shared" si="153"/>
        <v>-817278415.22461033</v>
      </c>
      <c r="AZ84" s="19">
        <f t="shared" si="154"/>
        <v>-793522590.95195639</v>
      </c>
      <c r="BA84" s="19">
        <f t="shared" si="155"/>
        <v>-769721160.14456785</v>
      </c>
      <c r="BB84" s="19">
        <f t="shared" si="156"/>
        <v>-745872823.83125758</v>
      </c>
      <c r="BC84" s="19">
        <f t="shared" si="157"/>
        <v>-721976796.9569701</v>
      </c>
      <c r="BD84" s="19">
        <f t="shared" si="158"/>
        <v>-698032816.97931898</v>
      </c>
      <c r="BE84" s="19">
        <f t="shared" si="159"/>
        <v>-674041146.74015319</v>
      </c>
      <c r="BF84" s="19">
        <f t="shared" si="160"/>
        <v>-650002571.58090305</v>
      </c>
      <c r="BG84" s="19">
        <f t="shared" si="161"/>
        <v>-625918390.73352611</v>
      </c>
      <c r="BH84" s="19">
        <f t="shared" si="162"/>
        <v>-601790403.08157992</v>
      </c>
      <c r="BI84" s="19">
        <f t="shared" si="163"/>
        <v>-577620887.44761324</v>
      </c>
      <c r="BJ84" s="19">
        <f t="shared" si="164"/>
        <v>-553412577.62301207</v>
      </c>
      <c r="BK84" s="19">
        <f t="shared" si="165"/>
        <v>-529168632.41400242</v>
      </c>
      <c r="BL84" s="19">
        <f t="shared" si="166"/>
        <v>-504892601.03208399</v>
      </c>
      <c r="BM84" s="19">
        <f t="shared" si="167"/>
        <v>-480588384.20812595</v>
      </c>
      <c r="BN84" s="19">
        <f t="shared" si="168"/>
        <v>-456260191.45616877</v>
      </c>
      <c r="BO84" s="19">
        <f t="shared" si="169"/>
        <v>-431912494.95511252</v>
      </c>
      <c r="BP84" s="19">
        <f t="shared" si="170"/>
        <v>-407549980.55348724</v>
      </c>
      <c r="BQ84" s="19">
        <f t="shared" si="171"/>
        <v>-383177496.43397981</v>
      </c>
      <c r="BR84" s="17">
        <f t="shared" si="172"/>
        <v>-358800000</v>
      </c>
      <c r="BT84" s="33"/>
      <c r="BU84" s="21">
        <v>6.6666666666666666E-2</v>
      </c>
      <c r="BV84" s="17">
        <f t="shared" si="173"/>
        <v>0.40647187995004258</v>
      </c>
      <c r="BW84" s="19">
        <f t="shared" si="174"/>
        <v>0.40647187995004258</v>
      </c>
      <c r="BX84" s="19">
        <f t="shared" si="175"/>
        <v>0.40647187995004258</v>
      </c>
      <c r="BY84" s="19">
        <f t="shared" si="176"/>
        <v>0.40647187995004258</v>
      </c>
      <c r="BZ84" s="19">
        <f t="shared" si="177"/>
        <v>0.40647187995004258</v>
      </c>
      <c r="CA84" s="19">
        <f t="shared" si="178"/>
        <v>0.40647187995004258</v>
      </c>
      <c r="CB84" s="19">
        <f t="shared" si="179"/>
        <v>0.40647187995004258</v>
      </c>
      <c r="CC84" s="19">
        <f t="shared" si="180"/>
        <v>0.40647187995004258</v>
      </c>
      <c r="CD84" s="19">
        <f t="shared" si="181"/>
        <v>0.40647187995004258</v>
      </c>
      <c r="CE84" s="19">
        <f t="shared" si="182"/>
        <v>0.40647187995004258</v>
      </c>
      <c r="CF84" s="19">
        <f t="shared" si="183"/>
        <v>0.40647187995004258</v>
      </c>
      <c r="CG84" s="19">
        <f t="shared" si="184"/>
        <v>0.40647187995004258</v>
      </c>
      <c r="CH84" s="19">
        <f t="shared" si="185"/>
        <v>0.40647187995004258</v>
      </c>
      <c r="CI84" s="19">
        <f t="shared" si="186"/>
        <v>0.40647187995004258</v>
      </c>
      <c r="CJ84" s="19">
        <f t="shared" si="187"/>
        <v>0.40647187995004258</v>
      </c>
      <c r="CK84" s="19">
        <f t="shared" si="188"/>
        <v>0.40647187995004258</v>
      </c>
      <c r="CL84" s="19">
        <f t="shared" si="189"/>
        <v>0.40647187995004258</v>
      </c>
      <c r="CM84" s="19">
        <f t="shared" si="190"/>
        <v>0.40647187995004258</v>
      </c>
      <c r="CN84" s="19">
        <f t="shared" si="191"/>
        <v>0.40647187995004258</v>
      </c>
      <c r="CO84" s="19">
        <f t="shared" si="192"/>
        <v>0.40647187995004258</v>
      </c>
      <c r="CP84" s="19">
        <f t="shared" si="193"/>
        <v>0.40647187995004258</v>
      </c>
      <c r="CQ84" s="19">
        <f t="shared" si="194"/>
        <v>0.40647187995004258</v>
      </c>
      <c r="CR84" s="19">
        <f t="shared" si="195"/>
        <v>0.40647187995004258</v>
      </c>
      <c r="CS84" s="19">
        <f t="shared" si="196"/>
        <v>0.40647187995004258</v>
      </c>
      <c r="CT84" s="19">
        <f t="shared" si="197"/>
        <v>0.40647187995004258</v>
      </c>
      <c r="CU84" s="19">
        <f t="shared" si="198"/>
        <v>0.40647187995004258</v>
      </c>
      <c r="CV84" s="19">
        <f t="shared" si="199"/>
        <v>0.40647187995004258</v>
      </c>
      <c r="CW84" s="19">
        <f t="shared" si="200"/>
        <v>0.40647187995004258</v>
      </c>
      <c r="CX84" s="19">
        <f t="shared" si="201"/>
        <v>0.40647187995004258</v>
      </c>
      <c r="CY84" s="19">
        <f t="shared" si="202"/>
        <v>0.40647187995004258</v>
      </c>
      <c r="CZ84" s="17">
        <f t="shared" si="203"/>
        <v>0.40647187995004258</v>
      </c>
      <c r="DB84" s="33"/>
      <c r="DC84" s="21">
        <v>6.6666666666666666E-2</v>
      </c>
      <c r="DD84" s="17">
        <f t="shared" si="204"/>
        <v>178.05843601498719</v>
      </c>
      <c r="DE84" s="19">
        <f t="shared" si="205"/>
        <v>174.17724672100837</v>
      </c>
      <c r="DF84" s="19">
        <f t="shared" si="206"/>
        <v>170.29522840870891</v>
      </c>
      <c r="DG84" s="19">
        <f t="shared" si="207"/>
        <v>166.41156114347515</v>
      </c>
      <c r="DH84" s="19">
        <f t="shared" si="208"/>
        <v>162.52544305854883</v>
      </c>
      <c r="DI84" s="19">
        <f t="shared" si="209"/>
        <v>158.63609914115122</v>
      </c>
      <c r="DJ84" s="19">
        <f t="shared" si="210"/>
        <v>154.74278972428982</v>
      </c>
      <c r="DK84" s="19">
        <f t="shared" si="211"/>
        <v>150.8448185911823</v>
      </c>
      <c r="DL84" s="19">
        <f t="shared" si="212"/>
        <v>146.9415406034843</v>
      </c>
      <c r="DM84" s="19">
        <f t="shared" si="213"/>
        <v>143.0323687697292</v>
      </c>
      <c r="DN84" s="19">
        <f t="shared" si="214"/>
        <v>139.11678067652909</v>
      </c>
      <c r="DO84" s="19">
        <f t="shared" si="215"/>
        <v>135.19432421207665</v>
      </c>
      <c r="DP84" s="19">
        <f t="shared" si="216"/>
        <v>131.26462251924542</v>
      </c>
      <c r="DQ84" s="19">
        <f t="shared" si="217"/>
        <v>127.32737812403788</v>
      </c>
      <c r="DR84" s="19">
        <f t="shared" si="218"/>
        <v>123.3823761941683</v>
      </c>
      <c r="DS84" s="19">
        <f t="shared" si="219"/>
        <v>119.429486892106</v>
      </c>
      <c r="DT84" s="19">
        <f t="shared" si="220"/>
        <v>115.46866679682928</v>
      </c>
      <c r="DU84" s="19">
        <f t="shared" si="221"/>
        <v>111.49995937874658</v>
      </c>
      <c r="DV84" s="19">
        <f t="shared" si="222"/>
        <v>107.52349452261676</v>
      </c>
      <c r="DW84" s="19">
        <f t="shared" si="223"/>
        <v>103.53948710373128</v>
      </c>
      <c r="DX84" s="19">
        <f t="shared" si="224"/>
        <v>99.548234632991367</v>
      </c>
      <c r="DY84" s="19">
        <f t="shared" si="225"/>
        <v>95.550113996711971</v>
      </c>
      <c r="DZ84" s="19">
        <f t="shared" si="226"/>
        <v>91.545577326898666</v>
      </c>
      <c r="EA84" s="19">
        <f t="shared" si="227"/>
        <v>87.535147047263834</v>
      </c>
      <c r="EB84" s="19">
        <f t="shared" si="228"/>
        <v>83.519410149274194</v>
      </c>
      <c r="EC84" s="19">
        <f t="shared" si="229"/>
        <v>79.4990117609495</v>
      </c>
      <c r="ED84" s="19">
        <f t="shared" si="230"/>
        <v>75.47464807887394</v>
      </c>
      <c r="EE84" s="19">
        <f t="shared" si="231"/>
        <v>71.447058740851446</v>
      </c>
      <c r="EF84" s="19">
        <f t="shared" si="232"/>
        <v>67.417018722757035</v>
      </c>
      <c r="EG84" s="19">
        <f t="shared" si="233"/>
        <v>63.385329848343325</v>
      </c>
      <c r="EH84" s="17">
        <f t="shared" si="234"/>
        <v>59.352812004995741</v>
      </c>
    </row>
    <row r="85" spans="5:138" x14ac:dyDescent="0.25">
      <c r="E85" s="35"/>
      <c r="F85" s="21">
        <v>6.3333333333333339E-2</v>
      </c>
      <c r="G85" s="30">
        <f t="shared" si="139"/>
        <v>300</v>
      </c>
      <c r="H85" s="31">
        <f t="shared" si="235"/>
        <v>293.46080338973968</v>
      </c>
      <c r="I85" s="31">
        <f t="shared" si="236"/>
        <v>286.9202101597395</v>
      </c>
      <c r="J85" s="31">
        <f t="shared" si="237"/>
        <v>280.37683899327794</v>
      </c>
      <c r="K85" s="31">
        <f t="shared" si="238"/>
        <v>273.82933901194843</v>
      </c>
      <c r="L85" s="31">
        <f t="shared" si="239"/>
        <v>267.27640457734969</v>
      </c>
      <c r="M85" s="31">
        <f t="shared" si="240"/>
        <v>260.71678959695055</v>
      </c>
      <c r="N85" s="31">
        <f t="shared" si="241"/>
        <v>254.14932117734381</v>
      </c>
      <c r="O85" s="31">
        <f t="shared" si="242"/>
        <v>247.57291247526888</v>
      </c>
      <c r="P85" s="31">
        <f t="shared" si="243"/>
        <v>240.98657460557811</v>
      </c>
      <c r="Q85" s="31">
        <f t="shared" si="244"/>
        <v>234.38942747566929</v>
      </c>
      <c r="R85" s="31">
        <f t="shared" si="245"/>
        <v>227.78070942768011</v>
      </c>
      <c r="S85" s="31">
        <f t="shared" si="246"/>
        <v>221.15978558281461</v>
      </c>
      <c r="T85" s="31">
        <f t="shared" si="247"/>
        <v>214.5261547964042</v>
      </c>
      <c r="U85" s="31">
        <f t="shared" si="248"/>
        <v>207.87945514753699</v>
      </c>
      <c r="V85" s="31">
        <f t="shared" si="249"/>
        <v>201.21946790315414</v>
      </c>
      <c r="W85" s="31">
        <f t="shared" si="250"/>
        <v>194.54611991323441</v>
      </c>
      <c r="X85" s="31">
        <f t="shared" si="251"/>
        <v>187.85948441088061</v>
      </c>
      <c r="Y85" s="31">
        <f t="shared" si="252"/>
        <v>181.1597802086018</v>
      </c>
      <c r="Z85" s="31">
        <f t="shared" si="253"/>
        <v>174.447369299657</v>
      </c>
      <c r="AA85" s="31">
        <f t="shared" si="254"/>
        <v>167.72275289079641</v>
      </c>
      <c r="AB85" s="31">
        <f t="shared" si="255"/>
        <v>160.98656590991897</v>
      </c>
      <c r="AC85" s="31">
        <f t="shared" si="256"/>
        <v>154.23957004886555</v>
      </c>
      <c r="AD85" s="31">
        <f t="shared" si="257"/>
        <v>147.48264541760705</v>
      </c>
      <c r="AE85" s="31">
        <f t="shared" si="258"/>
        <v>140.7167809012912</v>
      </c>
      <c r="AF85" s="31">
        <f t="shared" si="259"/>
        <v>133.9430633258099</v>
      </c>
      <c r="AG85" s="31">
        <f t="shared" si="260"/>
        <v>127.16266555059171</v>
      </c>
      <c r="AH85" s="31">
        <f t="shared" si="261"/>
        <v>120.37683361906491</v>
      </c>
      <c r="AI85" s="31">
        <f t="shared" si="262"/>
        <v>113.58687310754893</v>
      </c>
      <c r="AJ85" s="31">
        <f t="shared" si="263"/>
        <v>106.79413482210367</v>
      </c>
      <c r="AK85" s="30">
        <f t="shared" si="141"/>
        <v>100</v>
      </c>
      <c r="AL85" s="36"/>
      <c r="AM85" s="21">
        <v>6.3333333333333339E-2</v>
      </c>
      <c r="AN85" s="17">
        <f t="shared" si="142"/>
        <v>-1076400000</v>
      </c>
      <c r="AO85" s="19">
        <f t="shared" si="143"/>
        <v>-1052937370.3494576</v>
      </c>
      <c r="AP85" s="19">
        <f t="shared" si="144"/>
        <v>-1029469729.5419431</v>
      </c>
      <c r="AQ85" s="19">
        <f t="shared" si="145"/>
        <v>-1005992121.3286517</v>
      </c>
      <c r="AR85" s="19">
        <f t="shared" si="146"/>
        <v>-982499698.67531335</v>
      </c>
      <c r="AS85" s="19">
        <f t="shared" si="147"/>
        <v>-958987776.87156594</v>
      </c>
      <c r="AT85" s="19">
        <f t="shared" si="148"/>
        <v>-935451884.86127138</v>
      </c>
      <c r="AU85" s="19">
        <f t="shared" si="149"/>
        <v>-911887814.23122656</v>
      </c>
      <c r="AV85" s="19">
        <f t="shared" si="150"/>
        <v>-888291665.32141685</v>
      </c>
      <c r="AW85" s="19">
        <f t="shared" si="151"/>
        <v>-864659889.95152891</v>
      </c>
      <c r="AX85" s="19">
        <f t="shared" si="152"/>
        <v>-840989330.29555416</v>
      </c>
      <c r="AY85" s="19">
        <f t="shared" si="153"/>
        <v>-817277253.47857285</v>
      </c>
      <c r="AZ85" s="19">
        <f t="shared" si="154"/>
        <v>-793521381.51670539</v>
      </c>
      <c r="BA85" s="19">
        <f t="shared" si="155"/>
        <v>-769719916.27229619</v>
      </c>
      <c r="BB85" s="19">
        <f t="shared" si="156"/>
        <v>-745871559.15103626</v>
      </c>
      <c r="BC85" s="19">
        <f t="shared" si="157"/>
        <v>-721975525.32538378</v>
      </c>
      <c r="BD85" s="19">
        <f t="shared" si="158"/>
        <v>-698031552.32862914</v>
      </c>
      <c r="BE85" s="19">
        <f t="shared" si="159"/>
        <v>-674039902.92565405</v>
      </c>
      <c r="BF85" s="19">
        <f t="shared" si="160"/>
        <v>-650001362.22914052</v>
      </c>
      <c r="BG85" s="19">
        <f t="shared" si="161"/>
        <v>-625917229.09304404</v>
      </c>
      <c r="BH85" s="19">
        <f t="shared" si="162"/>
        <v>-601789301.87782633</v>
      </c>
      <c r="BI85" s="19">
        <f t="shared" si="163"/>
        <v>-577619858.74359262</v>
      </c>
      <c r="BJ85" s="19">
        <f t="shared" si="164"/>
        <v>-553411632.68720889</v>
      </c>
      <c r="BK85" s="19">
        <f t="shared" si="165"/>
        <v>-529167781.59701812</v>
      </c>
      <c r="BL85" s="19">
        <f t="shared" si="166"/>
        <v>-504891853.6533345</v>
      </c>
      <c r="BM85" s="19">
        <f t="shared" si="167"/>
        <v>-480587748.45383722</v>
      </c>
      <c r="BN85" s="19">
        <f t="shared" si="168"/>
        <v>-456259674.28978372</v>
      </c>
      <c r="BO85" s="19">
        <f t="shared" si="169"/>
        <v>-431912102.04108584</v>
      </c>
      <c r="BP85" s="19">
        <f t="shared" si="170"/>
        <v>-407549716.19530004</v>
      </c>
      <c r="BQ85" s="19">
        <f t="shared" si="171"/>
        <v>-383177363.52704996</v>
      </c>
      <c r="BR85" s="17">
        <f t="shared" si="172"/>
        <v>-358800000</v>
      </c>
      <c r="BT85" s="33"/>
      <c r="BU85" s="21">
        <v>6.3333333333333339E-2</v>
      </c>
      <c r="BV85" s="17">
        <f t="shared" si="173"/>
        <v>0.40647187995004358</v>
      </c>
      <c r="BW85" s="19">
        <f t="shared" si="174"/>
        <v>0.40647187995004358</v>
      </c>
      <c r="BX85" s="19">
        <f t="shared" si="175"/>
        <v>0.40647187995004358</v>
      </c>
      <c r="BY85" s="19">
        <f t="shared" si="176"/>
        <v>0.40647187995004358</v>
      </c>
      <c r="BZ85" s="19">
        <f t="shared" si="177"/>
        <v>0.40647187995004358</v>
      </c>
      <c r="CA85" s="19">
        <f t="shared" si="178"/>
        <v>0.40647187995004358</v>
      </c>
      <c r="CB85" s="19">
        <f t="shared" si="179"/>
        <v>0.40647187995004358</v>
      </c>
      <c r="CC85" s="19">
        <f t="shared" si="180"/>
        <v>0.40647187995004358</v>
      </c>
      <c r="CD85" s="19">
        <f t="shared" si="181"/>
        <v>0.40647187995004358</v>
      </c>
      <c r="CE85" s="19">
        <f t="shared" si="182"/>
        <v>0.40647187995004358</v>
      </c>
      <c r="CF85" s="19">
        <f t="shared" si="183"/>
        <v>0.40647187995004358</v>
      </c>
      <c r="CG85" s="19">
        <f t="shared" si="184"/>
        <v>0.40647187995004358</v>
      </c>
      <c r="CH85" s="19">
        <f t="shared" si="185"/>
        <v>0.40647187995004358</v>
      </c>
      <c r="CI85" s="19">
        <f t="shared" si="186"/>
        <v>0.40647187995004358</v>
      </c>
      <c r="CJ85" s="19">
        <f t="shared" si="187"/>
        <v>0.40647187995004358</v>
      </c>
      <c r="CK85" s="19">
        <f t="shared" si="188"/>
        <v>0.40647187995004358</v>
      </c>
      <c r="CL85" s="19">
        <f t="shared" si="189"/>
        <v>0.40647187995004358</v>
      </c>
      <c r="CM85" s="19">
        <f t="shared" si="190"/>
        <v>0.40647187995004358</v>
      </c>
      <c r="CN85" s="19">
        <f t="shared" si="191"/>
        <v>0.40647187995004358</v>
      </c>
      <c r="CO85" s="19">
        <f t="shared" si="192"/>
        <v>0.40647187995004358</v>
      </c>
      <c r="CP85" s="19">
        <f t="shared" si="193"/>
        <v>0.40647187995004358</v>
      </c>
      <c r="CQ85" s="19">
        <f t="shared" si="194"/>
        <v>0.40647187995004358</v>
      </c>
      <c r="CR85" s="19">
        <f t="shared" si="195"/>
        <v>0.40647187995004358</v>
      </c>
      <c r="CS85" s="19">
        <f t="shared" si="196"/>
        <v>0.40647187995004358</v>
      </c>
      <c r="CT85" s="19">
        <f t="shared" si="197"/>
        <v>0.40647187995004358</v>
      </c>
      <c r="CU85" s="19">
        <f t="shared" si="198"/>
        <v>0.40647187995004358</v>
      </c>
      <c r="CV85" s="19">
        <f t="shared" si="199"/>
        <v>0.40647187995004358</v>
      </c>
      <c r="CW85" s="19">
        <f t="shared" si="200"/>
        <v>0.40647187995004358</v>
      </c>
      <c r="CX85" s="19">
        <f t="shared" si="201"/>
        <v>0.40647187995004358</v>
      </c>
      <c r="CY85" s="19">
        <f t="shared" si="202"/>
        <v>0.40647187995004358</v>
      </c>
      <c r="CZ85" s="17">
        <f t="shared" si="203"/>
        <v>0.40647187995004358</v>
      </c>
      <c r="DB85" s="33"/>
      <c r="DC85" s="21">
        <v>6.3333333333333339E-2</v>
      </c>
      <c r="DD85" s="17">
        <f t="shared" si="204"/>
        <v>178.05843601498691</v>
      </c>
      <c r="DE85" s="19">
        <f t="shared" si="205"/>
        <v>174.17722408538054</v>
      </c>
      <c r="DF85" s="19">
        <f t="shared" si="206"/>
        <v>170.29518338553657</v>
      </c>
      <c r="DG85" s="19">
        <f t="shared" si="207"/>
        <v>166.41149422620262</v>
      </c>
      <c r="DH85" s="19">
        <f t="shared" si="208"/>
        <v>162.52535498056855</v>
      </c>
      <c r="DI85" s="19">
        <f t="shared" si="209"/>
        <v>158.6359908677583</v>
      </c>
      <c r="DJ85" s="19">
        <f t="shared" si="210"/>
        <v>154.74266244209315</v>
      </c>
      <c r="DK85" s="19">
        <f t="shared" si="211"/>
        <v>150.84467369508889</v>
      </c>
      <c r="DL85" s="19">
        <f t="shared" si="212"/>
        <v>146.94137968139992</v>
      </c>
      <c r="DM85" s="19">
        <f t="shared" si="213"/>
        <v>143.03219358514369</v>
      </c>
      <c r="DN85" s="19">
        <f t="shared" si="214"/>
        <v>139.11659314917816</v>
      </c>
      <c r="DO85" s="19">
        <f t="shared" si="215"/>
        <v>135.19412639689205</v>
      </c>
      <c r="DP85" s="19">
        <f t="shared" si="216"/>
        <v>131.26441658382606</v>
      </c>
      <c r="DQ85" s="19">
        <f t="shared" si="217"/>
        <v>127.32716632488807</v>
      </c>
      <c r="DR85" s="19">
        <f t="shared" si="218"/>
        <v>123.38216085196491</v>
      </c>
      <c r="DS85" s="19">
        <f t="shared" si="219"/>
        <v>119.42927036626563</v>
      </c>
      <c r="DT85" s="19">
        <f t="shared" si="220"/>
        <v>115.46845145965432</v>
      </c>
      <c r="DU85" s="19">
        <f t="shared" si="221"/>
        <v>111.49974758943385</v>
      </c>
      <c r="DV85" s="19">
        <f t="shared" si="222"/>
        <v>107.5232886014132</v>
      </c>
      <c r="DW85" s="19">
        <f t="shared" si="223"/>
        <v>103.53928930651993</v>
      </c>
      <c r="DX85" s="19">
        <f t="shared" si="224"/>
        <v>99.548047126585573</v>
      </c>
      <c r="DY85" s="19">
        <f t="shared" si="225"/>
        <v>95.549938835128174</v>
      </c>
      <c r="DZ85" s="19">
        <f t="shared" si="226"/>
        <v>91.545416428867199</v>
      </c>
      <c r="EA85" s="19">
        <f t="shared" si="227"/>
        <v>87.535002175223354</v>
      </c>
      <c r="EB85" s="19">
        <f t="shared" si="228"/>
        <v>83.519282890079253</v>
      </c>
      <c r="EC85" s="19">
        <f t="shared" si="229"/>
        <v>79.498903508501826</v>
      </c>
      <c r="ED85" s="19">
        <f t="shared" si="230"/>
        <v>75.474560018867038</v>
      </c>
      <c r="EE85" s="19">
        <f t="shared" si="231"/>
        <v>71.446991837794869</v>
      </c>
      <c r="EF85" s="19">
        <f t="shared" si="232"/>
        <v>67.41697370942191</v>
      </c>
      <c r="EG85" s="19">
        <f t="shared" si="233"/>
        <v>63.385307217744099</v>
      </c>
      <c r="EH85" s="17">
        <f t="shared" si="234"/>
        <v>59.352812004995634</v>
      </c>
    </row>
    <row r="86" spans="5:138" x14ac:dyDescent="0.25">
      <c r="E86" s="35"/>
      <c r="F86" s="21">
        <v>6.0000000000000005E-2</v>
      </c>
      <c r="G86" s="30">
        <f t="shared" si="139"/>
        <v>300</v>
      </c>
      <c r="H86" s="31">
        <f t="shared" si="235"/>
        <v>293.4607649530617</v>
      </c>
      <c r="I86" s="31">
        <f t="shared" si="236"/>
        <v>286.92013370764357</v>
      </c>
      <c r="J86" s="31">
        <f t="shared" si="237"/>
        <v>280.37672536366279</v>
      </c>
      <c r="K86" s="31">
        <f t="shared" si="238"/>
        <v>273.82918945015911</v>
      </c>
      <c r="L86" s="31">
        <f t="shared" si="239"/>
        <v>267.2762207225162</v>
      </c>
      <c r="M86" s="31">
        <f t="shared" si="240"/>
        <v>260.71657346400724</v>
      </c>
      <c r="N86" s="31">
        <f t="shared" si="241"/>
        <v>254.14907513492807</v>
      </c>
      <c r="O86" s="31">
        <f t="shared" si="242"/>
        <v>247.57263921974163</v>
      </c>
      <c r="P86" s="31">
        <f t="shared" si="243"/>
        <v>240.98627713145294</v>
      </c>
      <c r="Q86" s="31">
        <f t="shared" si="244"/>
        <v>234.38910904277446</v>
      </c>
      <c r="R86" s="31">
        <f t="shared" si="245"/>
        <v>227.78037352541537</v>
      </c>
      <c r="S86" s="31">
        <f t="shared" si="246"/>
        <v>221.15943589189527</v>
      </c>
      <c r="T86" s="31">
        <f t="shared" si="247"/>
        <v>214.52579514851237</v>
      </c>
      <c r="U86" s="31">
        <f t="shared" si="248"/>
        <v>207.87908948332375</v>
      </c>
      <c r="V86" s="31">
        <f t="shared" si="249"/>
        <v>201.21910022905297</v>
      </c>
      <c r="W86" s="31">
        <f t="shared" si="250"/>
        <v>194.54575425755968</v>
      </c>
      <c r="X86" s="31">
        <f t="shared" si="251"/>
        <v>187.85912477969262</v>
      </c>
      <c r="Y86" s="31">
        <f t="shared" si="252"/>
        <v>181.15943054182156</v>
      </c>
      <c r="Z86" s="31">
        <f t="shared" si="253"/>
        <v>174.44703342791169</v>
      </c>
      <c r="AA86" s="31">
        <f t="shared" si="254"/>
        <v>167.7224344934674</v>
      </c>
      <c r="AB86" s="31">
        <f t="shared" si="255"/>
        <v>160.9862684748517</v>
      </c>
      <c r="AC86" s="31">
        <f t="shared" si="256"/>
        <v>154.23929683418126</v>
      </c>
      <c r="AD86" s="31">
        <f t="shared" si="257"/>
        <v>147.48239941603424</v>
      </c>
      <c r="AE86" s="31">
        <f t="shared" si="258"/>
        <v>140.71656480740583</v>
      </c>
      <c r="AF86" s="31">
        <f t="shared" si="259"/>
        <v>133.94287950654225</v>
      </c>
      <c r="AG86" s="31">
        <f t="shared" si="260"/>
        <v>127.16251601932176</v>
      </c>
      <c r="AH86" s="31">
        <f t="shared" si="261"/>
        <v>120.37672001358881</v>
      </c>
      <c r="AI86" s="31">
        <f t="shared" si="262"/>
        <v>113.58679667215682</v>
      </c>
      <c r="AJ86" s="31">
        <f t="shared" si="263"/>
        <v>106.79409639396414</v>
      </c>
      <c r="AK86" s="30">
        <f t="shared" si="141"/>
        <v>100</v>
      </c>
      <c r="AL86" s="36"/>
      <c r="AM86" s="21">
        <v>6.0000000000000005E-2</v>
      </c>
      <c r="AN86" s="17">
        <f t="shared" si="142"/>
        <v>-1076400000</v>
      </c>
      <c r="AO86" s="19">
        <f t="shared" si="143"/>
        <v>-1052937230.5729257</v>
      </c>
      <c r="AP86" s="19">
        <f t="shared" si="144"/>
        <v>-1029469451.5208086</v>
      </c>
      <c r="AQ86" s="19">
        <f t="shared" si="145"/>
        <v>-1005991708.109967</v>
      </c>
      <c r="AR86" s="19">
        <f t="shared" si="146"/>
        <v>-982499154.78782606</v>
      </c>
      <c r="AS86" s="19">
        <f t="shared" si="147"/>
        <v>-958987108.27603853</v>
      </c>
      <c r="AT86" s="19">
        <f t="shared" si="148"/>
        <v>-935451098.88509429</v>
      </c>
      <c r="AU86" s="19">
        <f t="shared" si="149"/>
        <v>-911886919.48804474</v>
      </c>
      <c r="AV86" s="19">
        <f t="shared" si="150"/>
        <v>-888290671.6166563</v>
      </c>
      <c r="AW86" s="19">
        <f t="shared" si="151"/>
        <v>-864658808.17485869</v>
      </c>
      <c r="AX86" s="19">
        <f t="shared" si="152"/>
        <v>-840988172.30147171</v>
      </c>
      <c r="AY86" s="19">
        <f t="shared" si="153"/>
        <v>-817276031.95642126</v>
      </c>
      <c r="AZ86" s="19">
        <f t="shared" si="154"/>
        <v>-793520109.85155439</v>
      </c>
      <c r="BA86" s="19">
        <f t="shared" si="155"/>
        <v>-769718608.39821267</v>
      </c>
      <c r="BB86" s="19">
        <f t="shared" si="156"/>
        <v>-745870229.39835703</v>
      </c>
      <c r="BC86" s="19">
        <f t="shared" si="157"/>
        <v>-721974188.2636658</v>
      </c>
      <c r="BD86" s="19">
        <f t="shared" si="158"/>
        <v>-698030222.60700047</v>
      </c>
      <c r="BE86" s="19">
        <f t="shared" si="159"/>
        <v>-674038595.11231482</v>
      </c>
      <c r="BF86" s="19">
        <f t="shared" si="160"/>
        <v>-650000090.6517725</v>
      </c>
      <c r="BG86" s="19">
        <f t="shared" si="161"/>
        <v>-625916007.68187773</v>
      </c>
      <c r="BH86" s="19">
        <f t="shared" si="162"/>
        <v>-601788144.0130806</v>
      </c>
      <c r="BI86" s="19">
        <f t="shared" si="163"/>
        <v>-577618777.10895824</v>
      </c>
      <c r="BJ86" s="19">
        <f t="shared" si="164"/>
        <v>-553410639.13097548</v>
      </c>
      <c r="BK86" s="19">
        <f t="shared" si="165"/>
        <v>-529166887.00236368</v>
      </c>
      <c r="BL86" s="19">
        <f t="shared" si="166"/>
        <v>-504891067.81919318</v>
      </c>
      <c r="BM86" s="19">
        <f t="shared" si="167"/>
        <v>-480587079.9876467</v>
      </c>
      <c r="BN86" s="19">
        <f t="shared" si="168"/>
        <v>-456259130.51328158</v>
      </c>
      <c r="BO86" s="19">
        <f t="shared" si="169"/>
        <v>-431911688.91018397</v>
      </c>
      <c r="BP86" s="19">
        <f t="shared" si="170"/>
        <v>-407549438.23490977</v>
      </c>
      <c r="BQ86" s="19">
        <f t="shared" si="171"/>
        <v>-383177223.78156865</v>
      </c>
      <c r="BR86" s="17">
        <f t="shared" si="172"/>
        <v>-358800000</v>
      </c>
      <c r="BT86" s="33"/>
      <c r="BU86" s="21">
        <v>6.0000000000000005E-2</v>
      </c>
      <c r="BV86" s="17">
        <f t="shared" si="173"/>
        <v>0.40647187995004946</v>
      </c>
      <c r="BW86" s="19">
        <f t="shared" si="174"/>
        <v>0.40647187995004946</v>
      </c>
      <c r="BX86" s="19">
        <f t="shared" si="175"/>
        <v>0.40647187995004946</v>
      </c>
      <c r="BY86" s="19">
        <f t="shared" si="176"/>
        <v>0.40647187995004946</v>
      </c>
      <c r="BZ86" s="19">
        <f t="shared" si="177"/>
        <v>0.40647187995004946</v>
      </c>
      <c r="CA86" s="19">
        <f t="shared" si="178"/>
        <v>0.40647187995004946</v>
      </c>
      <c r="CB86" s="19">
        <f t="shared" si="179"/>
        <v>0.40647187995004946</v>
      </c>
      <c r="CC86" s="19">
        <f t="shared" si="180"/>
        <v>0.40647187995004946</v>
      </c>
      <c r="CD86" s="19">
        <f t="shared" si="181"/>
        <v>0.40647187995004946</v>
      </c>
      <c r="CE86" s="19">
        <f t="shared" si="182"/>
        <v>0.40647187995004946</v>
      </c>
      <c r="CF86" s="19">
        <f t="shared" si="183"/>
        <v>0.40647187995004946</v>
      </c>
      <c r="CG86" s="19">
        <f t="shared" si="184"/>
        <v>0.40647187995004946</v>
      </c>
      <c r="CH86" s="19">
        <f t="shared" si="185"/>
        <v>0.40647187995004946</v>
      </c>
      <c r="CI86" s="19">
        <f t="shared" si="186"/>
        <v>0.40647187995004946</v>
      </c>
      <c r="CJ86" s="19">
        <f t="shared" si="187"/>
        <v>0.40647187995004946</v>
      </c>
      <c r="CK86" s="19">
        <f t="shared" si="188"/>
        <v>0.40647187995004946</v>
      </c>
      <c r="CL86" s="19">
        <f t="shared" si="189"/>
        <v>0.40647187995004946</v>
      </c>
      <c r="CM86" s="19">
        <f t="shared" si="190"/>
        <v>0.40647187995004946</v>
      </c>
      <c r="CN86" s="19">
        <f t="shared" si="191"/>
        <v>0.40647187995004946</v>
      </c>
      <c r="CO86" s="19">
        <f t="shared" si="192"/>
        <v>0.40647187995004946</v>
      </c>
      <c r="CP86" s="19">
        <f t="shared" si="193"/>
        <v>0.40647187995004946</v>
      </c>
      <c r="CQ86" s="19">
        <f t="shared" si="194"/>
        <v>0.40647187995004946</v>
      </c>
      <c r="CR86" s="19">
        <f t="shared" si="195"/>
        <v>0.40647187995004946</v>
      </c>
      <c r="CS86" s="19">
        <f t="shared" si="196"/>
        <v>0.40647187995004946</v>
      </c>
      <c r="CT86" s="19">
        <f t="shared" si="197"/>
        <v>0.40647187995004946</v>
      </c>
      <c r="CU86" s="19">
        <f t="shared" si="198"/>
        <v>0.40647187995004946</v>
      </c>
      <c r="CV86" s="19">
        <f t="shared" si="199"/>
        <v>0.40647187995004946</v>
      </c>
      <c r="CW86" s="19">
        <f t="shared" si="200"/>
        <v>0.40647187995004946</v>
      </c>
      <c r="CX86" s="19">
        <f t="shared" si="201"/>
        <v>0.40647187995004946</v>
      </c>
      <c r="CY86" s="19">
        <f t="shared" si="202"/>
        <v>0.40647187995004946</v>
      </c>
      <c r="CZ86" s="17">
        <f t="shared" si="203"/>
        <v>0.40647187995004946</v>
      </c>
      <c r="DB86" s="33"/>
      <c r="DC86" s="21">
        <v>6.0000000000000005E-2</v>
      </c>
      <c r="DD86" s="17">
        <f t="shared" si="204"/>
        <v>178.05843601498518</v>
      </c>
      <c r="DE86" s="19">
        <f t="shared" si="205"/>
        <v>174.17720050758234</v>
      </c>
      <c r="DF86" s="19">
        <f t="shared" si="206"/>
        <v>170.29513648835095</v>
      </c>
      <c r="DG86" s="19">
        <f t="shared" si="207"/>
        <v>166.41142452361274</v>
      </c>
      <c r="DH86" s="19">
        <f t="shared" si="208"/>
        <v>162.52526323649298</v>
      </c>
      <c r="DI86" s="19">
        <f t="shared" si="209"/>
        <v>158.63587808767085</v>
      </c>
      <c r="DJ86" s="19">
        <f t="shared" si="210"/>
        <v>154.74252986199326</v>
      </c>
      <c r="DK86" s="19">
        <f t="shared" si="211"/>
        <v>150.8445227679442</v>
      </c>
      <c r="DL86" s="19">
        <f t="shared" si="212"/>
        <v>146.94121206121005</v>
      </c>
      <c r="DM86" s="19">
        <f t="shared" si="213"/>
        <v>143.03201110880073</v>
      </c>
      <c r="DN86" s="19">
        <f t="shared" si="214"/>
        <v>139.11639781632337</v>
      </c>
      <c r="DO86" s="19">
        <f t="shared" si="215"/>
        <v>135.19392034799029</v>
      </c>
      <c r="DP86" s="19">
        <f t="shared" si="216"/>
        <v>131.26420207669875</v>
      </c>
      <c r="DQ86" s="19">
        <f t="shared" si="217"/>
        <v>127.32694570996264</v>
      </c>
      <c r="DR86" s="19">
        <f t="shared" si="218"/>
        <v>123.38193654651239</v>
      </c>
      <c r="DS86" s="19">
        <f t="shared" si="219"/>
        <v>119.42904482790928</v>
      </c>
      <c r="DT86" s="19">
        <f t="shared" si="220"/>
        <v>115.46822715943954</v>
      </c>
      <c r="DU86" s="19">
        <f t="shared" si="221"/>
        <v>111.49952698475497</v>
      </c>
      <c r="DV86" s="19">
        <f t="shared" si="222"/>
        <v>107.52307410909341</v>
      </c>
      <c r="DW86" s="19">
        <f t="shared" si="223"/>
        <v>103.53908327633957</v>
      </c>
      <c r="DX86" s="19">
        <f t="shared" si="224"/>
        <v>99.547851815547801</v>
      </c>
      <c r="DY86" s="19">
        <f t="shared" si="225"/>
        <v>95.549756382744391</v>
      </c>
      <c r="DZ86" s="19">
        <f t="shared" si="226"/>
        <v>91.545248833731549</v>
      </c>
      <c r="EA86" s="19">
        <f t="shared" si="227"/>
        <v>87.534851273132972</v>
      </c>
      <c r="EB86" s="19">
        <f t="shared" si="228"/>
        <v>83.519150333938782</v>
      </c>
      <c r="EC86" s="19">
        <f t="shared" si="229"/>
        <v>79.498790750231777</v>
      </c>
      <c r="ED86" s="19">
        <f t="shared" si="230"/>
        <v>75.474468293513354</v>
      </c>
      <c r="EE86" s="19">
        <f t="shared" si="231"/>
        <v>71.446922150013179</v>
      </c>
      <c r="EF86" s="19">
        <f t="shared" si="232"/>
        <v>67.416926822483688</v>
      </c>
      <c r="EG86" s="19">
        <f t="shared" si="233"/>
        <v>63.385283645184622</v>
      </c>
      <c r="EH86" s="17">
        <f t="shared" si="234"/>
        <v>59.352812004995052</v>
      </c>
    </row>
    <row r="87" spans="5:138" x14ac:dyDescent="0.25">
      <c r="E87" s="35"/>
      <c r="F87" s="21">
        <v>5.6666666666666671E-2</v>
      </c>
      <c r="G87" s="30">
        <f t="shared" si="139"/>
        <v>300</v>
      </c>
      <c r="H87" s="31">
        <f t="shared" si="235"/>
        <v>293.46072508610825</v>
      </c>
      <c r="I87" s="31">
        <f t="shared" si="236"/>
        <v>286.92005441067238</v>
      </c>
      <c r="J87" s="31">
        <f t="shared" si="237"/>
        <v>280.37660750575168</v>
      </c>
      <c r="K87" s="31">
        <f t="shared" si="238"/>
        <v>273.829034322994</v>
      </c>
      <c r="L87" s="31">
        <f t="shared" si="239"/>
        <v>267.27603002622118</v>
      </c>
      <c r="M87" s="31">
        <f t="shared" si="240"/>
        <v>260.71634928849483</v>
      </c>
      <c r="N87" s="31">
        <f t="shared" si="241"/>
        <v>254.1488199369754</v>
      </c>
      <c r="O87" s="31">
        <f t="shared" si="242"/>
        <v>247.57235579604455</v>
      </c>
      <c r="P87" s="31">
        <f t="shared" si="243"/>
        <v>240.9859685879544</v>
      </c>
      <c r="Q87" s="31">
        <f t="shared" si="244"/>
        <v>234.38877876060496</v>
      </c>
      <c r="R87" s="31">
        <f t="shared" si="245"/>
        <v>227.78002512381951</v>
      </c>
      <c r="S87" s="31">
        <f t="shared" si="246"/>
        <v>221.15907318855216</v>
      </c>
      <c r="T87" s="31">
        <f t="shared" si="247"/>
        <v>214.52542211768571</v>
      </c>
      <c r="U87" s="31">
        <f t="shared" si="248"/>
        <v>207.87871021230103</v>
      </c>
      <c r="V87" s="31">
        <f t="shared" si="249"/>
        <v>201.21871887335189</v>
      </c>
      <c r="W87" s="31">
        <f t="shared" si="250"/>
        <v>194.5453749953931</v>
      </c>
      <c r="X87" s="31">
        <f t="shared" si="251"/>
        <v>187.85875176619118</v>
      </c>
      <c r="Y87" s="31">
        <f t="shared" si="252"/>
        <v>181.15906786351556</v>
      </c>
      <c r="Z87" s="31">
        <f t="shared" si="253"/>
        <v>174.44668505797057</v>
      </c>
      <c r="AA87" s="31">
        <f t="shared" si="254"/>
        <v>167.72210424818684</v>
      </c>
      <c r="AB87" s="31">
        <f t="shared" si="255"/>
        <v>160.98595997186408</v>
      </c>
      <c r="AC87" s="31">
        <f t="shared" si="256"/>
        <v>154.23901345284651</v>
      </c>
      <c r="AD87" s="31">
        <f t="shared" si="257"/>
        <v>147.4821442604439</v>
      </c>
      <c r="AE87" s="31">
        <f t="shared" si="258"/>
        <v>140.71634067240427</v>
      </c>
      <c r="AF87" s="31">
        <f t="shared" si="259"/>
        <v>133.94268884713617</v>
      </c>
      <c r="AG87" s="31">
        <f t="shared" si="260"/>
        <v>127.16236092381143</v>
      </c>
      <c r="AH87" s="31">
        <f t="shared" si="261"/>
        <v>120.37660218071483</v>
      </c>
      <c r="AI87" s="31">
        <f t="shared" si="262"/>
        <v>113.58671739251082</v>
      </c>
      <c r="AJ87" s="31">
        <f t="shared" si="263"/>
        <v>106.79405653586683</v>
      </c>
      <c r="AK87" s="30">
        <f t="shared" si="141"/>
        <v>100</v>
      </c>
      <c r="AL87" s="36"/>
      <c r="AM87" s="21">
        <v>5.6666666666666671E-2</v>
      </c>
      <c r="AN87" s="17">
        <f t="shared" si="142"/>
        <v>-1076400000</v>
      </c>
      <c r="AO87" s="19">
        <f t="shared" si="143"/>
        <v>-1052937085.5951688</v>
      </c>
      <c r="AP87" s="19">
        <f t="shared" si="144"/>
        <v>-1029469163.1542288</v>
      </c>
      <c r="AQ87" s="19">
        <f t="shared" si="145"/>
        <v>-1005991279.5150006</v>
      </c>
      <c r="AR87" s="19">
        <f t="shared" si="146"/>
        <v>-982498590.66173995</v>
      </c>
      <c r="AS87" s="19">
        <f t="shared" si="147"/>
        <v>-958986414.80140114</v>
      </c>
      <c r="AT87" s="19">
        <f t="shared" si="148"/>
        <v>-935450283.66195548</v>
      </c>
      <c r="AU87" s="19">
        <f t="shared" si="149"/>
        <v>-911885991.45057213</v>
      </c>
      <c r="AV87" s="19">
        <f t="shared" si="150"/>
        <v>-888289640.93514502</v>
      </c>
      <c r="AW87" s="19">
        <f t="shared" si="151"/>
        <v>-864657686.14419365</v>
      </c>
      <c r="AX87" s="19">
        <f t="shared" si="152"/>
        <v>-840986971.21726787</v>
      </c>
      <c r="AY87" s="19">
        <f t="shared" si="153"/>
        <v>-817274764.98020518</v>
      </c>
      <c r="AZ87" s="19">
        <f t="shared" si="154"/>
        <v>-793518790.8664676</v>
      </c>
      <c r="BA87" s="19">
        <f t="shared" si="155"/>
        <v>-769717251.85682225</v>
      </c>
      <c r="BB87" s="19">
        <f t="shared" si="156"/>
        <v>-745868850.1642462</v>
      </c>
      <c r="BC87" s="19">
        <f t="shared" si="157"/>
        <v>-721972801.4485395</v>
      </c>
      <c r="BD87" s="19">
        <f t="shared" si="158"/>
        <v>-698028843.40509558</v>
      </c>
      <c r="BE87" s="19">
        <f t="shared" si="159"/>
        <v>-674037238.63392842</v>
      </c>
      <c r="BF87" s="19">
        <f t="shared" si="160"/>
        <v>-649998771.75773406</v>
      </c>
      <c r="BG87" s="19">
        <f t="shared" si="161"/>
        <v>-625914740.82077551</v>
      </c>
      <c r="BH87" s="19">
        <f t="shared" si="162"/>
        <v>-601786943.063025</v>
      </c>
      <c r="BI87" s="19">
        <f t="shared" si="163"/>
        <v>-577617655.22561288</v>
      </c>
      <c r="BJ87" s="19">
        <f t="shared" si="164"/>
        <v>-553409608.60351682</v>
      </c>
      <c r="BK87" s="19">
        <f t="shared" si="165"/>
        <v>-529165959.11894357</v>
      </c>
      <c r="BL87" s="19">
        <f t="shared" si="166"/>
        <v>-504890252.74337405</v>
      </c>
      <c r="BM87" s="19">
        <f t="shared" si="167"/>
        <v>-480586386.64715761</v>
      </c>
      <c r="BN87" s="19">
        <f t="shared" si="168"/>
        <v>-456258566.50230944</v>
      </c>
      <c r="BO87" s="19">
        <f t="shared" si="169"/>
        <v>-431911260.40626621</v>
      </c>
      <c r="BP87" s="19">
        <f t="shared" si="170"/>
        <v>-407549149.93133402</v>
      </c>
      <c r="BQ87" s="19">
        <f t="shared" si="171"/>
        <v>-383177078.83601755</v>
      </c>
      <c r="BR87" s="17">
        <f t="shared" si="172"/>
        <v>-358800000</v>
      </c>
      <c r="BT87" s="33"/>
      <c r="BU87" s="21">
        <v>5.6666666666666671E-2</v>
      </c>
      <c r="BV87" s="17">
        <f t="shared" si="173"/>
        <v>0.40647187995008499</v>
      </c>
      <c r="BW87" s="19">
        <f t="shared" si="174"/>
        <v>0.40647187995008499</v>
      </c>
      <c r="BX87" s="19">
        <f t="shared" si="175"/>
        <v>0.40647187995008499</v>
      </c>
      <c r="BY87" s="19">
        <f t="shared" si="176"/>
        <v>0.40647187995008499</v>
      </c>
      <c r="BZ87" s="19">
        <f t="shared" si="177"/>
        <v>0.40647187995008499</v>
      </c>
      <c r="CA87" s="19">
        <f t="shared" si="178"/>
        <v>0.40647187995008499</v>
      </c>
      <c r="CB87" s="19">
        <f t="shared" si="179"/>
        <v>0.40647187995008499</v>
      </c>
      <c r="CC87" s="19">
        <f t="shared" si="180"/>
        <v>0.40647187995008499</v>
      </c>
      <c r="CD87" s="19">
        <f t="shared" si="181"/>
        <v>0.40647187995008499</v>
      </c>
      <c r="CE87" s="19">
        <f t="shared" si="182"/>
        <v>0.40647187995008499</v>
      </c>
      <c r="CF87" s="19">
        <f t="shared" si="183"/>
        <v>0.40647187995008499</v>
      </c>
      <c r="CG87" s="19">
        <f t="shared" si="184"/>
        <v>0.40647187995008499</v>
      </c>
      <c r="CH87" s="19">
        <f t="shared" si="185"/>
        <v>0.40647187995008499</v>
      </c>
      <c r="CI87" s="19">
        <f t="shared" si="186"/>
        <v>0.40647187995008499</v>
      </c>
      <c r="CJ87" s="19">
        <f t="shared" si="187"/>
        <v>0.40647187995008499</v>
      </c>
      <c r="CK87" s="19">
        <f t="shared" si="188"/>
        <v>0.40647187995008499</v>
      </c>
      <c r="CL87" s="19">
        <f t="shared" si="189"/>
        <v>0.40647187995008499</v>
      </c>
      <c r="CM87" s="19">
        <f t="shared" si="190"/>
        <v>0.40647187995008499</v>
      </c>
      <c r="CN87" s="19">
        <f t="shared" si="191"/>
        <v>0.40647187995008499</v>
      </c>
      <c r="CO87" s="19">
        <f t="shared" si="192"/>
        <v>0.40647187995008499</v>
      </c>
      <c r="CP87" s="19">
        <f t="shared" si="193"/>
        <v>0.40647187995008499</v>
      </c>
      <c r="CQ87" s="19">
        <f t="shared" si="194"/>
        <v>0.40647187995008499</v>
      </c>
      <c r="CR87" s="19">
        <f t="shared" si="195"/>
        <v>0.40647187995008499</v>
      </c>
      <c r="CS87" s="19">
        <f t="shared" si="196"/>
        <v>0.40647187995008499</v>
      </c>
      <c r="CT87" s="19">
        <f t="shared" si="197"/>
        <v>0.40647187995008499</v>
      </c>
      <c r="CU87" s="19">
        <f t="shared" si="198"/>
        <v>0.40647187995008499</v>
      </c>
      <c r="CV87" s="19">
        <f t="shared" si="199"/>
        <v>0.40647187995008499</v>
      </c>
      <c r="CW87" s="19">
        <f t="shared" si="200"/>
        <v>0.40647187995008499</v>
      </c>
      <c r="CX87" s="19">
        <f t="shared" si="201"/>
        <v>0.40647187995008499</v>
      </c>
      <c r="CY87" s="19">
        <f t="shared" si="202"/>
        <v>0.40647187995008499</v>
      </c>
      <c r="CZ87" s="17">
        <f t="shared" si="203"/>
        <v>0.40647187995008499</v>
      </c>
      <c r="DB87" s="33"/>
      <c r="DC87" s="21">
        <v>5.6666666666666671E-2</v>
      </c>
      <c r="DD87" s="17">
        <f t="shared" si="204"/>
        <v>178.05843601497452</v>
      </c>
      <c r="DE87" s="19">
        <f t="shared" si="205"/>
        <v>174.17717626404723</v>
      </c>
      <c r="DF87" s="19">
        <f t="shared" si="206"/>
        <v>170.29508826699671</v>
      </c>
      <c r="DG87" s="19">
        <f t="shared" si="207"/>
        <v>166.41135285293501</v>
      </c>
      <c r="DH87" s="19">
        <f t="shared" si="208"/>
        <v>162.52516890197987</v>
      </c>
      <c r="DI87" s="19">
        <f t="shared" si="209"/>
        <v>158.63576212318614</v>
      </c>
      <c r="DJ87" s="19">
        <f t="shared" si="210"/>
        <v>154.74239353843535</v>
      </c>
      <c r="DK87" s="19">
        <f t="shared" si="211"/>
        <v>150.84436757930578</v>
      </c>
      <c r="DL87" s="19">
        <f t="shared" si="212"/>
        <v>146.94103970819202</v>
      </c>
      <c r="DM87" s="19">
        <f t="shared" si="213"/>
        <v>143.03182348016054</v>
      </c>
      <c r="DN87" s="19">
        <f t="shared" si="214"/>
        <v>139.11619696816297</v>
      </c>
      <c r="DO87" s="19">
        <f t="shared" si="215"/>
        <v>135.19370848121136</v>
      </c>
      <c r="DP87" s="19">
        <f t="shared" si="216"/>
        <v>131.26398151287319</v>
      </c>
      <c r="DQ87" s="19">
        <f t="shared" si="217"/>
        <v>127.32671886588308</v>
      </c>
      <c r="DR87" s="19">
        <f t="shared" si="218"/>
        <v>123.38170590770247</v>
      </c>
      <c r="DS87" s="19">
        <f t="shared" si="219"/>
        <v>119.42881292138415</v>
      </c>
      <c r="DT87" s="19">
        <f t="shared" si="220"/>
        <v>115.46799652601557</v>
      </c>
      <c r="DU87" s="19">
        <f t="shared" si="221"/>
        <v>111.49930015121193</v>
      </c>
      <c r="DV87" s="19">
        <f t="shared" si="222"/>
        <v>107.52285356049451</v>
      </c>
      <c r="DW87" s="19">
        <f t="shared" si="223"/>
        <v>103.53887142881199</v>
      </c>
      <c r="DX87" s="19">
        <f t="shared" si="224"/>
        <v>99.547650989822159</v>
      </c>
      <c r="DY87" s="19">
        <f t="shared" si="225"/>
        <v>95.549568778741985</v>
      </c>
      <c r="DZ87" s="19">
        <f t="shared" si="226"/>
        <v>91.545076506477642</v>
      </c>
      <c r="EA87" s="19">
        <f t="shared" si="227"/>
        <v>87.534696110259148</v>
      </c>
      <c r="EB87" s="19">
        <f t="shared" si="228"/>
        <v>83.519014035020064</v>
      </c>
      <c r="EC87" s="19">
        <f t="shared" si="229"/>
        <v>79.498674808184219</v>
      </c>
      <c r="ED87" s="19">
        <f t="shared" si="230"/>
        <v>75.474373978254931</v>
      </c>
      <c r="EE87" s="19">
        <f t="shared" si="231"/>
        <v>71.446850494566362</v>
      </c>
      <c r="EF87" s="19">
        <f t="shared" si="232"/>
        <v>67.41687861167118</v>
      </c>
      <c r="EG87" s="19">
        <f t="shared" si="233"/>
        <v>63.38525940704163</v>
      </c>
      <c r="EH87" s="17">
        <f t="shared" si="234"/>
        <v>59.352812004991506</v>
      </c>
    </row>
    <row r="88" spans="5:138" x14ac:dyDescent="0.25">
      <c r="E88" s="35"/>
      <c r="F88" s="21">
        <v>5.3333333333333337E-2</v>
      </c>
      <c r="G88" s="30">
        <f t="shared" si="139"/>
        <v>300</v>
      </c>
      <c r="H88" s="31">
        <f t="shared" si="235"/>
        <v>293.46068425630148</v>
      </c>
      <c r="I88" s="31">
        <f t="shared" si="236"/>
        <v>286.91997319854732</v>
      </c>
      <c r="J88" s="31">
        <f t="shared" si="237"/>
        <v>280.3764868013759</v>
      </c>
      <c r="K88" s="31">
        <f t="shared" si="238"/>
        <v>273.82887544924978</v>
      </c>
      <c r="L88" s="31">
        <f t="shared" si="239"/>
        <v>267.27583472429336</v>
      </c>
      <c r="M88" s="31">
        <f t="shared" si="240"/>
        <v>260.71611969877074</v>
      </c>
      <c r="N88" s="31">
        <f t="shared" si="241"/>
        <v>254.14855857556751</v>
      </c>
      <c r="O88" s="31">
        <f t="shared" si="242"/>
        <v>247.5720655271935</v>
      </c>
      <c r="P88" s="31">
        <f t="shared" si="243"/>
        <v>240.98565259261687</v>
      </c>
      <c r="Q88" s="31">
        <f t="shared" si="244"/>
        <v>234.38844050157138</v>
      </c>
      <c r="R88" s="31">
        <f t="shared" si="245"/>
        <v>227.77966830774523</v>
      </c>
      <c r="S88" s="31">
        <f t="shared" si="246"/>
        <v>221.15870172531959</v>
      </c>
      <c r="T88" s="31">
        <f t="shared" si="247"/>
        <v>214.52504007754362</v>
      </c>
      <c r="U88" s="31">
        <f t="shared" si="248"/>
        <v>207.87832178125166</v>
      </c>
      <c r="V88" s="31">
        <f t="shared" si="249"/>
        <v>201.21832830727567</v>
      </c>
      <c r="W88" s="31">
        <f t="shared" si="250"/>
        <v>194.54498657341367</v>
      </c>
      <c r="X88" s="31">
        <f t="shared" si="251"/>
        <v>187.85836974379248</v>
      </c>
      <c r="Y88" s="31">
        <f t="shared" si="252"/>
        <v>181.15869642592446</v>
      </c>
      <c r="Z88" s="31">
        <f t="shared" si="253"/>
        <v>174.44632827431516</v>
      </c>
      <c r="AA88" s="31">
        <f t="shared" si="254"/>
        <v>167.72176602693264</v>
      </c>
      <c r="AB88" s="31">
        <f t="shared" si="255"/>
        <v>160.98564401801536</v>
      </c>
      <c r="AC88" s="31">
        <f t="shared" si="256"/>
        <v>154.2387232273804</v>
      </c>
      <c r="AD88" s="31">
        <f t="shared" si="257"/>
        <v>147.48188294242095</v>
      </c>
      <c r="AE88" s="31">
        <f t="shared" si="258"/>
        <v>140.71611112416903</v>
      </c>
      <c r="AF88" s="31">
        <f t="shared" si="259"/>
        <v>133.94249358298777</v>
      </c>
      <c r="AG88" s="31">
        <f t="shared" si="260"/>
        <v>127.16220208248615</v>
      </c>
      <c r="AH88" s="31">
        <f t="shared" si="261"/>
        <v>120.37648150198058</v>
      </c>
      <c r="AI88" s="31">
        <f t="shared" si="262"/>
        <v>113.58663619812926</v>
      </c>
      <c r="AJ88" s="31">
        <f t="shared" si="263"/>
        <v>106.79401571513003</v>
      </c>
      <c r="AK88" s="30">
        <f t="shared" si="141"/>
        <v>100</v>
      </c>
      <c r="AL88" s="36"/>
      <c r="AM88" s="21">
        <v>5.3333333333333337E-2</v>
      </c>
      <c r="AN88" s="17">
        <f t="shared" si="142"/>
        <v>-1076400000</v>
      </c>
      <c r="AO88" s="19">
        <f t="shared" si="143"/>
        <v>-1052936937.1159889</v>
      </c>
      <c r="AP88" s="19">
        <f t="shared" si="144"/>
        <v>-1029468867.8231784</v>
      </c>
      <c r="AQ88" s="19">
        <f t="shared" si="145"/>
        <v>-1005990840.5688449</v>
      </c>
      <c r="AR88" s="19">
        <f t="shared" si="146"/>
        <v>-982498012.91119158</v>
      </c>
      <c r="AS88" s="19">
        <f t="shared" si="147"/>
        <v>-958985704.57834685</v>
      </c>
      <c r="AT88" s="19">
        <f t="shared" si="148"/>
        <v>-935449448.74999678</v>
      </c>
      <c r="AU88" s="19">
        <f t="shared" si="149"/>
        <v>-911885040.99965</v>
      </c>
      <c r="AV88" s="19">
        <f t="shared" si="150"/>
        <v>-888288585.36118174</v>
      </c>
      <c r="AW88" s="19">
        <f t="shared" si="151"/>
        <v>-864656537.01486206</v>
      </c>
      <c r="AX88" s="19">
        <f t="shared" si="152"/>
        <v>-840985741.12513983</v>
      </c>
      <c r="AY88" s="19">
        <f t="shared" si="153"/>
        <v>-817273467.40467715</v>
      </c>
      <c r="AZ88" s="19">
        <f t="shared" si="154"/>
        <v>-793517440.02597868</v>
      </c>
      <c r="BA88" s="19">
        <f t="shared" si="155"/>
        <v>-769715862.55299079</v>
      </c>
      <c r="BB88" s="19">
        <f t="shared" si="156"/>
        <v>-745867437.61963201</v>
      </c>
      <c r="BC88" s="19">
        <f t="shared" si="157"/>
        <v>-721971381.13981724</v>
      </c>
      <c r="BD88" s="19">
        <f t="shared" si="158"/>
        <v>-698027430.89346457</v>
      </c>
      <c r="BE88" s="19">
        <f t="shared" si="159"/>
        <v>-674035849.39462149</v>
      </c>
      <c r="BF88" s="19">
        <f t="shared" si="160"/>
        <v>-649997421.01049161</v>
      </c>
      <c r="BG88" s="19">
        <f t="shared" si="161"/>
        <v>-625913443.36313999</v>
      </c>
      <c r="BH88" s="19">
        <f t="shared" si="162"/>
        <v>-601785713.10828328</v>
      </c>
      <c r="BI88" s="19">
        <f t="shared" si="163"/>
        <v>-577616506.24715698</v>
      </c>
      <c r="BJ88" s="19">
        <f t="shared" si="164"/>
        <v>-553408553.18732476</v>
      </c>
      <c r="BK88" s="19">
        <f t="shared" si="165"/>
        <v>-529165008.82579249</v>
      </c>
      <c r="BL88" s="19">
        <f t="shared" si="166"/>
        <v>-504889417.98229128</v>
      </c>
      <c r="BM88" s="19">
        <f t="shared" si="167"/>
        <v>-480585676.56148982</v>
      </c>
      <c r="BN88" s="19">
        <f t="shared" si="168"/>
        <v>-456257988.869654</v>
      </c>
      <c r="BO88" s="19">
        <f t="shared" si="169"/>
        <v>-431910821.55335683</v>
      </c>
      <c r="BP88" s="19">
        <f t="shared" si="170"/>
        <v>-407548854.66480833</v>
      </c>
      <c r="BQ88" s="19">
        <f t="shared" si="171"/>
        <v>-383176930.38982099</v>
      </c>
      <c r="BR88" s="17">
        <f t="shared" si="172"/>
        <v>-358800000</v>
      </c>
      <c r="BT88" s="33"/>
      <c r="BU88" s="21">
        <v>5.3333333333333337E-2</v>
      </c>
      <c r="BV88" s="17">
        <f t="shared" si="173"/>
        <v>0.40647187995029982</v>
      </c>
      <c r="BW88" s="19">
        <f t="shared" si="174"/>
        <v>0.40647187995029982</v>
      </c>
      <c r="BX88" s="19">
        <f t="shared" si="175"/>
        <v>0.40647187995029982</v>
      </c>
      <c r="BY88" s="19">
        <f t="shared" si="176"/>
        <v>0.40647187995029982</v>
      </c>
      <c r="BZ88" s="19">
        <f t="shared" si="177"/>
        <v>0.40647187995029982</v>
      </c>
      <c r="CA88" s="19">
        <f t="shared" si="178"/>
        <v>0.40647187995029982</v>
      </c>
      <c r="CB88" s="19">
        <f t="shared" si="179"/>
        <v>0.40647187995029982</v>
      </c>
      <c r="CC88" s="19">
        <f t="shared" si="180"/>
        <v>0.40647187995029982</v>
      </c>
      <c r="CD88" s="19">
        <f t="shared" si="181"/>
        <v>0.40647187995029982</v>
      </c>
      <c r="CE88" s="19">
        <f t="shared" si="182"/>
        <v>0.40647187995029982</v>
      </c>
      <c r="CF88" s="19">
        <f t="shared" si="183"/>
        <v>0.40647187995029982</v>
      </c>
      <c r="CG88" s="19">
        <f t="shared" si="184"/>
        <v>0.40647187995029982</v>
      </c>
      <c r="CH88" s="19">
        <f t="shared" si="185"/>
        <v>0.40647187995029982</v>
      </c>
      <c r="CI88" s="19">
        <f t="shared" si="186"/>
        <v>0.40647187995029982</v>
      </c>
      <c r="CJ88" s="19">
        <f t="shared" si="187"/>
        <v>0.40647187995029982</v>
      </c>
      <c r="CK88" s="19">
        <f t="shared" si="188"/>
        <v>0.40647187995029982</v>
      </c>
      <c r="CL88" s="19">
        <f t="shared" si="189"/>
        <v>0.40647187995029982</v>
      </c>
      <c r="CM88" s="19">
        <f t="shared" si="190"/>
        <v>0.40647187995029982</v>
      </c>
      <c r="CN88" s="19">
        <f t="shared" si="191"/>
        <v>0.40647187995029982</v>
      </c>
      <c r="CO88" s="19">
        <f t="shared" si="192"/>
        <v>0.40647187995029982</v>
      </c>
      <c r="CP88" s="19">
        <f t="shared" si="193"/>
        <v>0.40647187995029982</v>
      </c>
      <c r="CQ88" s="19">
        <f t="shared" si="194"/>
        <v>0.40647187995029982</v>
      </c>
      <c r="CR88" s="19">
        <f t="shared" si="195"/>
        <v>0.40647187995029982</v>
      </c>
      <c r="CS88" s="19">
        <f t="shared" si="196"/>
        <v>0.40647187995029982</v>
      </c>
      <c r="CT88" s="19">
        <f t="shared" si="197"/>
        <v>0.40647187995029982</v>
      </c>
      <c r="CU88" s="19">
        <f t="shared" si="198"/>
        <v>0.40647187995029982</v>
      </c>
      <c r="CV88" s="19">
        <f t="shared" si="199"/>
        <v>0.40647187995029982</v>
      </c>
      <c r="CW88" s="19">
        <f t="shared" si="200"/>
        <v>0.40647187995029982</v>
      </c>
      <c r="CX88" s="19">
        <f t="shared" si="201"/>
        <v>0.40647187995029982</v>
      </c>
      <c r="CY88" s="19">
        <f t="shared" si="202"/>
        <v>0.40647187995029982</v>
      </c>
      <c r="CZ88" s="17">
        <f t="shared" si="203"/>
        <v>0.40647187995029982</v>
      </c>
      <c r="DB88" s="33"/>
      <c r="DC88" s="21">
        <v>5.3333333333333337E-2</v>
      </c>
      <c r="DD88" s="17">
        <f t="shared" si="204"/>
        <v>178.05843601491006</v>
      </c>
      <c r="DE88" s="19">
        <f t="shared" si="205"/>
        <v>174.17715163897296</v>
      </c>
      <c r="DF88" s="19">
        <f t="shared" si="206"/>
        <v>170.29503928679901</v>
      </c>
      <c r="DG88" s="19">
        <f t="shared" si="207"/>
        <v>166.4112800544257</v>
      </c>
      <c r="DH88" s="19">
        <f t="shared" si="208"/>
        <v>162.52507308300724</v>
      </c>
      <c r="DI88" s="19">
        <f t="shared" si="209"/>
        <v>158.63564433388245</v>
      </c>
      <c r="DJ88" s="19">
        <f t="shared" si="210"/>
        <v>154.74225506969725</v>
      </c>
      <c r="DK88" s="19">
        <f t="shared" si="211"/>
        <v>150.84420994863487</v>
      </c>
      <c r="DL88" s="19">
        <f t="shared" si="212"/>
        <v>146.94086464305079</v>
      </c>
      <c r="DM88" s="19">
        <f t="shared" si="213"/>
        <v>143.03163289902716</v>
      </c>
      <c r="DN88" s="19">
        <f t="shared" si="214"/>
        <v>139.11599295949338</v>
      </c>
      <c r="DO88" s="19">
        <f t="shared" si="215"/>
        <v>135.1934932805398</v>
      </c>
      <c r="DP88" s="19">
        <f t="shared" si="216"/>
        <v>131.26375747830284</v>
      </c>
      <c r="DQ88" s="19">
        <f t="shared" si="217"/>
        <v>127.32648845223628</v>
      </c>
      <c r="DR88" s="19">
        <f t="shared" si="218"/>
        <v>123.38147163961408</v>
      </c>
      <c r="DS88" s="19">
        <f t="shared" si="219"/>
        <v>119.42857736563347</v>
      </c>
      <c r="DT88" s="19">
        <f t="shared" si="220"/>
        <v>115.46776226340018</v>
      </c>
      <c r="DU88" s="19">
        <f t="shared" si="221"/>
        <v>111.49906974827205</v>
      </c>
      <c r="DV88" s="19">
        <f t="shared" si="222"/>
        <v>107.52262954139735</v>
      </c>
      <c r="DW88" s="19">
        <f t="shared" si="223"/>
        <v>103.53865624770398</v>
      </c>
      <c r="DX88" s="19">
        <f t="shared" si="224"/>
        <v>99.547447003951987</v>
      </c>
      <c r="DY88" s="19">
        <f t="shared" si="225"/>
        <v>95.549378222648059</v>
      </c>
      <c r="DZ88" s="19">
        <f t="shared" si="226"/>
        <v>91.544901467522308</v>
      </c>
      <c r="EA88" s="19">
        <f t="shared" si="227"/>
        <v>87.534538505777007</v>
      </c>
      <c r="EB88" s="19">
        <f t="shared" si="228"/>
        <v>83.51887559133003</v>
      </c>
      <c r="EC88" s="19">
        <f t="shared" si="229"/>
        <v>79.498557041694269</v>
      </c>
      <c r="ED88" s="19">
        <f t="shared" si="230"/>
        <v>75.474278178865958</v>
      </c>
      <c r="EE88" s="19">
        <f t="shared" si="231"/>
        <v>71.446777711556066</v>
      </c>
      <c r="EF88" s="19">
        <f t="shared" si="232"/>
        <v>67.416829642211965</v>
      </c>
      <c r="EG88" s="19">
        <f t="shared" si="233"/>
        <v>63.385234787477643</v>
      </c>
      <c r="EH88" s="17">
        <f t="shared" si="234"/>
        <v>59.352812004970019</v>
      </c>
    </row>
    <row r="89" spans="5:138" x14ac:dyDescent="0.25">
      <c r="E89" s="35"/>
      <c r="F89" s="21">
        <v>0.05</v>
      </c>
      <c r="G89" s="30">
        <f t="shared" si="139"/>
        <v>300</v>
      </c>
      <c r="H89" s="31">
        <f t="shared" si="235"/>
        <v>293.46064294234515</v>
      </c>
      <c r="I89" s="31">
        <f t="shared" si="236"/>
        <v>286.91989102342933</v>
      </c>
      <c r="J89" s="31">
        <f t="shared" si="237"/>
        <v>280.37636466571803</v>
      </c>
      <c r="K89" s="31">
        <f t="shared" si="238"/>
        <v>273.82871469162069</v>
      </c>
      <c r="L89" s="31">
        <f t="shared" si="239"/>
        <v>267.27563710652436</v>
      </c>
      <c r="M89" s="31">
        <f t="shared" si="240"/>
        <v>260.71588738662945</v>
      </c>
      <c r="N89" s="31">
        <f t="shared" si="241"/>
        <v>254.1482941150017</v>
      </c>
      <c r="O89" s="31">
        <f t="shared" si="242"/>
        <v>247.57177181640731</v>
      </c>
      <c r="P89" s="31">
        <f t="shared" si="243"/>
        <v>240.98533285028594</v>
      </c>
      <c r="Q89" s="31">
        <f t="shared" si="244"/>
        <v>234.38809823154702</v>
      </c>
      <c r="R89" s="31">
        <f t="shared" si="245"/>
        <v>227.77930726063539</v>
      </c>
      <c r="S89" s="31">
        <f t="shared" si="246"/>
        <v>221.15832585736905</v>
      </c>
      <c r="T89" s="31">
        <f t="shared" si="247"/>
        <v>214.52465350726521</v>
      </c>
      <c r="U89" s="31">
        <f t="shared" si="248"/>
        <v>207.87792874428416</v>
      </c>
      <c r="V89" s="31">
        <f t="shared" si="249"/>
        <v>201.21793310996463</v>
      </c>
      <c r="W89" s="31">
        <f t="shared" si="250"/>
        <v>194.54459354562351</v>
      </c>
      <c r="X89" s="31">
        <f t="shared" si="251"/>
        <v>187.85798319146767</v>
      </c>
      <c r="Y89" s="31">
        <f t="shared" si="252"/>
        <v>181.15832058391919</v>
      </c>
      <c r="Z89" s="31">
        <f t="shared" si="253"/>
        <v>174.44596726000822</v>
      </c>
      <c r="AA89" s="31">
        <f t="shared" si="254"/>
        <v>167.72142379513525</v>
      </c>
      <c r="AB89" s="31">
        <f t="shared" si="255"/>
        <v>160.98532431766472</v>
      </c>
      <c r="AC89" s="31">
        <f t="shared" si="256"/>
        <v>154.23842956049307</v>
      </c>
      <c r="AD89" s="31">
        <f t="shared" si="257"/>
        <v>147.48161852575402</v>
      </c>
      <c r="AE89" s="31">
        <f t="shared" si="258"/>
        <v>140.71587885400797</v>
      </c>
      <c r="AF89" s="31">
        <f t="shared" si="259"/>
        <v>133.94229600344568</v>
      </c>
      <c r="AG89" s="31">
        <f t="shared" si="260"/>
        <v>127.16204135765993</v>
      </c>
      <c r="AH89" s="31">
        <f t="shared" si="261"/>
        <v>120.37635939226796</v>
      </c>
      <c r="AI89" s="31">
        <f t="shared" si="262"/>
        <v>113.58655404096493</v>
      </c>
      <c r="AJ89" s="31">
        <f t="shared" si="263"/>
        <v>106.7939744103511</v>
      </c>
      <c r="AK89" s="30">
        <f t="shared" si="141"/>
        <v>100</v>
      </c>
      <c r="AL89" s="36"/>
      <c r="AM89" s="21">
        <v>0.05</v>
      </c>
      <c r="AN89" s="17">
        <f t="shared" si="142"/>
        <v>-1076400000</v>
      </c>
      <c r="AO89" s="19">
        <f t="shared" si="143"/>
        <v>-1052936786.8762127</v>
      </c>
      <c r="AP89" s="19">
        <f t="shared" si="144"/>
        <v>-1029468568.9902307</v>
      </c>
      <c r="AQ89" s="19">
        <f t="shared" si="145"/>
        <v>-1005990396.4178709</v>
      </c>
      <c r="AR89" s="19">
        <f t="shared" si="146"/>
        <v>-982497428.30994773</v>
      </c>
      <c r="AS89" s="19">
        <f t="shared" si="147"/>
        <v>-958984985.93379974</v>
      </c>
      <c r="AT89" s="19">
        <f t="shared" si="148"/>
        <v>-935448603.93804252</v>
      </c>
      <c r="AU89" s="19">
        <f t="shared" si="149"/>
        <v>-911884079.27872491</v>
      </c>
      <c r="AV89" s="19">
        <f t="shared" si="150"/>
        <v>-888287517.27071571</v>
      </c>
      <c r="AW89" s="19">
        <f t="shared" si="151"/>
        <v>-864655374.2596916</v>
      </c>
      <c r="AX89" s="19">
        <f t="shared" si="152"/>
        <v>-840984496.44715381</v>
      </c>
      <c r="AY89" s="19">
        <f t="shared" si="153"/>
        <v>-817272154.44310415</v>
      </c>
      <c r="AZ89" s="19">
        <f t="shared" si="154"/>
        <v>-793516073.16785395</v>
      </c>
      <c r="BA89" s="19">
        <f t="shared" si="155"/>
        <v>-769714456.77544272</v>
      </c>
      <c r="BB89" s="19">
        <f t="shared" si="156"/>
        <v>-745866008.32572281</v>
      </c>
      <c r="BC89" s="19">
        <f t="shared" si="157"/>
        <v>-721969943.98973632</v>
      </c>
      <c r="BD89" s="19">
        <f t="shared" si="158"/>
        <v>-698026001.63292897</v>
      </c>
      <c r="BE89" s="19">
        <f t="shared" si="159"/>
        <v>-674034443.68236256</v>
      </c>
      <c r="BF89" s="19">
        <f t="shared" si="160"/>
        <v>-649996054.24671769</v>
      </c>
      <c r="BG89" s="19">
        <f t="shared" si="161"/>
        <v>-625912130.52085614</v>
      </c>
      <c r="BH89" s="19">
        <f t="shared" si="162"/>
        <v>-601784468.56931102</v>
      </c>
      <c r="BI89" s="19">
        <f t="shared" si="163"/>
        <v>-577615343.64464951</v>
      </c>
      <c r="BJ89" s="19">
        <f t="shared" si="164"/>
        <v>-553407485.25649858</v>
      </c>
      <c r="BK89" s="19">
        <f t="shared" si="165"/>
        <v>-529164047.26450735</v>
      </c>
      <c r="BL89" s="19">
        <f t="shared" si="166"/>
        <v>-504888573.32299978</v>
      </c>
      <c r="BM89" s="19">
        <f t="shared" si="167"/>
        <v>-480584958.05595607</v>
      </c>
      <c r="BN89" s="19">
        <f t="shared" si="168"/>
        <v>-456257404.38769889</v>
      </c>
      <c r="BO89" s="19">
        <f t="shared" si="169"/>
        <v>-431910377.49673378</v>
      </c>
      <c r="BP89" s="19">
        <f t="shared" si="170"/>
        <v>-407548555.89714962</v>
      </c>
      <c r="BQ89" s="19">
        <f t="shared" si="171"/>
        <v>-383176780.18341845</v>
      </c>
      <c r="BR89" s="17">
        <f t="shared" si="172"/>
        <v>-358800000</v>
      </c>
      <c r="BT89" s="33"/>
      <c r="BU89" s="21">
        <v>0.05</v>
      </c>
      <c r="BV89" s="17">
        <f t="shared" si="173"/>
        <v>0.40647187995160011</v>
      </c>
      <c r="BW89" s="19">
        <f t="shared" si="174"/>
        <v>0.40647187995160011</v>
      </c>
      <c r="BX89" s="19">
        <f t="shared" si="175"/>
        <v>0.40647187995160011</v>
      </c>
      <c r="BY89" s="19">
        <f t="shared" si="176"/>
        <v>0.40647187995160011</v>
      </c>
      <c r="BZ89" s="19">
        <f t="shared" si="177"/>
        <v>0.40647187995160011</v>
      </c>
      <c r="CA89" s="19">
        <f t="shared" si="178"/>
        <v>0.40647187995160011</v>
      </c>
      <c r="CB89" s="19">
        <f t="shared" si="179"/>
        <v>0.40647187995160011</v>
      </c>
      <c r="CC89" s="19">
        <f t="shared" si="180"/>
        <v>0.40647187995160011</v>
      </c>
      <c r="CD89" s="19">
        <f t="shared" si="181"/>
        <v>0.40647187995160011</v>
      </c>
      <c r="CE89" s="19">
        <f t="shared" si="182"/>
        <v>0.40647187995160011</v>
      </c>
      <c r="CF89" s="19">
        <f t="shared" si="183"/>
        <v>0.40647187995160011</v>
      </c>
      <c r="CG89" s="19">
        <f t="shared" si="184"/>
        <v>0.40647187995160011</v>
      </c>
      <c r="CH89" s="19">
        <f t="shared" si="185"/>
        <v>0.40647187995160011</v>
      </c>
      <c r="CI89" s="19">
        <f t="shared" si="186"/>
        <v>0.40647187995160011</v>
      </c>
      <c r="CJ89" s="19">
        <f t="shared" si="187"/>
        <v>0.40647187995160011</v>
      </c>
      <c r="CK89" s="19">
        <f t="shared" si="188"/>
        <v>0.40647187995160011</v>
      </c>
      <c r="CL89" s="19">
        <f t="shared" si="189"/>
        <v>0.40647187995160011</v>
      </c>
      <c r="CM89" s="19">
        <f t="shared" si="190"/>
        <v>0.40647187995160011</v>
      </c>
      <c r="CN89" s="19">
        <f t="shared" si="191"/>
        <v>0.40647187995160011</v>
      </c>
      <c r="CO89" s="19">
        <f t="shared" si="192"/>
        <v>0.40647187995160011</v>
      </c>
      <c r="CP89" s="19">
        <f t="shared" si="193"/>
        <v>0.40647187995160011</v>
      </c>
      <c r="CQ89" s="19">
        <f t="shared" si="194"/>
        <v>0.40647187995160011</v>
      </c>
      <c r="CR89" s="19">
        <f t="shared" si="195"/>
        <v>0.40647187995160011</v>
      </c>
      <c r="CS89" s="19">
        <f t="shared" si="196"/>
        <v>0.40647187995160011</v>
      </c>
      <c r="CT89" s="19">
        <f t="shared" si="197"/>
        <v>0.40647187995160011</v>
      </c>
      <c r="CU89" s="19">
        <f t="shared" si="198"/>
        <v>0.40647187995160011</v>
      </c>
      <c r="CV89" s="19">
        <f t="shared" si="199"/>
        <v>0.40647187995160011</v>
      </c>
      <c r="CW89" s="19">
        <f t="shared" si="200"/>
        <v>0.40647187995160011</v>
      </c>
      <c r="CX89" s="19">
        <f t="shared" si="201"/>
        <v>0.40647187995160011</v>
      </c>
      <c r="CY89" s="19">
        <f t="shared" si="202"/>
        <v>0.40647187995160011</v>
      </c>
      <c r="CZ89" s="17">
        <f t="shared" si="203"/>
        <v>0.40647187995160011</v>
      </c>
      <c r="DB89" s="33"/>
      <c r="DC89" s="21">
        <v>0.05</v>
      </c>
      <c r="DD89" s="17">
        <f t="shared" si="204"/>
        <v>178.05843601451994</v>
      </c>
      <c r="DE89" s="19">
        <f t="shared" si="205"/>
        <v>174.17712692080335</v>
      </c>
      <c r="DF89" s="19">
        <f t="shared" si="206"/>
        <v>170.29499012175307</v>
      </c>
      <c r="DG89" s="19">
        <f t="shared" si="207"/>
        <v>166.41120698133778</v>
      </c>
      <c r="DH89" s="19">
        <f t="shared" si="208"/>
        <v>162.52497690273157</v>
      </c>
      <c r="DI89" s="19">
        <f t="shared" si="209"/>
        <v>158.63552610050766</v>
      </c>
      <c r="DJ89" s="19">
        <f t="shared" si="210"/>
        <v>154.74211607898368</v>
      </c>
      <c r="DK89" s="19">
        <f t="shared" si="211"/>
        <v>150.84405172380141</v>
      </c>
      <c r="DL89" s="19">
        <f t="shared" si="212"/>
        <v>146.94068891806825</v>
      </c>
      <c r="DM89" s="19">
        <f t="shared" si="213"/>
        <v>143.03144159960178</v>
      </c>
      <c r="DN89" s="19">
        <f t="shared" si="214"/>
        <v>139.11578818194954</v>
      </c>
      <c r="DO89" s="19">
        <f t="shared" si="215"/>
        <v>135.19327726883427</v>
      </c>
      <c r="DP89" s="19">
        <f t="shared" si="216"/>
        <v>131.2635325994232</v>
      </c>
      <c r="DQ89" s="19">
        <f t="shared" si="217"/>
        <v>127.32625717025368</v>
      </c>
      <c r="DR89" s="19">
        <f t="shared" si="218"/>
        <v>123.38123648867514</v>
      </c>
      <c r="DS89" s="19">
        <f t="shared" si="219"/>
        <v>119.42834092218803</v>
      </c>
      <c r="DT89" s="19">
        <f t="shared" si="220"/>
        <v>115.46752711796924</v>
      </c>
      <c r="DU89" s="19">
        <f t="shared" si="221"/>
        <v>111.49883847706555</v>
      </c>
      <c r="DV89" s="19">
        <f t="shared" si="222"/>
        <v>107.52240467809244</v>
      </c>
      <c r="DW89" s="19">
        <f t="shared" si="223"/>
        <v>103.53844025569337</v>
      </c>
      <c r="DX89" s="19">
        <f t="shared" si="224"/>
        <v>99.54724224936551</v>
      </c>
      <c r="DY89" s="19">
        <f t="shared" si="225"/>
        <v>95.549186948442951</v>
      </c>
      <c r="DZ89" s="19">
        <f t="shared" si="226"/>
        <v>91.544725768925233</v>
      </c>
      <c r="EA89" s="19">
        <f t="shared" si="227"/>
        <v>87.534380307346339</v>
      </c>
      <c r="EB89" s="19">
        <f t="shared" si="228"/>
        <v>83.518736625888721</v>
      </c>
      <c r="EC89" s="19">
        <f t="shared" si="229"/>
        <v>79.498438831363515</v>
      </c>
      <c r="ED89" s="19">
        <f t="shared" si="230"/>
        <v>75.474182018406509</v>
      </c>
      <c r="EE89" s="19">
        <f t="shared" si="231"/>
        <v>71.446704654198896</v>
      </c>
      <c r="EF89" s="19">
        <f t="shared" si="232"/>
        <v>67.416780488132858</v>
      </c>
      <c r="EG89" s="19">
        <f t="shared" si="233"/>
        <v>63.385210075041464</v>
      </c>
      <c r="EH89" s="17">
        <f t="shared" si="234"/>
        <v>59.352812004839983</v>
      </c>
    </row>
    <row r="90" spans="5:138" x14ac:dyDescent="0.25">
      <c r="E90" s="35"/>
      <c r="F90" s="21">
        <v>4.6666666666666669E-2</v>
      </c>
      <c r="G90" s="30">
        <f t="shared" si="139"/>
        <v>300</v>
      </c>
      <c r="H90" s="31">
        <f t="shared" si="235"/>
        <v>293.46060162861153</v>
      </c>
      <c r="I90" s="31">
        <f t="shared" si="236"/>
        <v>286.91980884875426</v>
      </c>
      <c r="J90" s="31">
        <f t="shared" si="237"/>
        <v>280.37624253071851</v>
      </c>
      <c r="K90" s="31">
        <f t="shared" si="238"/>
        <v>273.82855393485806</v>
      </c>
      <c r="L90" s="31">
        <f t="shared" si="239"/>
        <v>267.27543948982054</v>
      </c>
      <c r="M90" s="31">
        <f t="shared" si="240"/>
        <v>260.7156550757403</v>
      </c>
      <c r="N90" s="31">
        <f t="shared" si="241"/>
        <v>254.14802965586125</v>
      </c>
      <c r="O90" s="31">
        <f t="shared" si="242"/>
        <v>247.5714781072042</v>
      </c>
      <c r="P90" s="31">
        <f t="shared" si="243"/>
        <v>240.98501310967836</v>
      </c>
      <c r="Q90" s="31">
        <f t="shared" si="244"/>
        <v>234.38775596336734</v>
      </c>
      <c r="R90" s="31">
        <f t="shared" si="245"/>
        <v>227.77894621547136</v>
      </c>
      <c r="S90" s="31">
        <f t="shared" si="246"/>
        <v>221.15794999144418</v>
      </c>
      <c r="T90" s="31">
        <f t="shared" si="247"/>
        <v>214.52426693907006</v>
      </c>
      <c r="U90" s="31">
        <f t="shared" si="248"/>
        <v>207.87753570943477</v>
      </c>
      <c r="V90" s="31">
        <f t="shared" si="249"/>
        <v>201.21753791478326</v>
      </c>
      <c r="W90" s="31">
        <f t="shared" si="250"/>
        <v>194.54420051995129</v>
      </c>
      <c r="X90" s="31">
        <f t="shared" si="251"/>
        <v>187.85759664122588</v>
      </c>
      <c r="Y90" s="31">
        <f t="shared" si="252"/>
        <v>181.15794474393914</v>
      </c>
      <c r="Z90" s="31">
        <f t="shared" si="253"/>
        <v>174.44560624764657</v>
      </c>
      <c r="AA90" s="31">
        <f t="shared" si="254"/>
        <v>167.72108156518189</v>
      </c>
      <c r="AB90" s="31">
        <f t="shared" si="255"/>
        <v>160.98500461903666</v>
      </c>
      <c r="AC90" s="31">
        <f t="shared" si="256"/>
        <v>154.23813589518804</v>
      </c>
      <c r="AD90" s="31">
        <f t="shared" si="257"/>
        <v>147.48135411051172</v>
      </c>
      <c r="AE90" s="31">
        <f t="shared" si="258"/>
        <v>140.71564658509837</v>
      </c>
      <c r="AF90" s="31">
        <f t="shared" si="259"/>
        <v>133.94209842496815</v>
      </c>
      <c r="AG90" s="31">
        <f t="shared" si="260"/>
        <v>127.16188063369967</v>
      </c>
      <c r="AH90" s="31">
        <f t="shared" si="261"/>
        <v>120.37623728321321</v>
      </c>
      <c r="AI90" s="31">
        <f t="shared" si="262"/>
        <v>113.58647188424324</v>
      </c>
      <c r="AJ90" s="31">
        <f t="shared" si="263"/>
        <v>106.79393310579471</v>
      </c>
      <c r="AK90" s="30">
        <f t="shared" si="141"/>
        <v>100</v>
      </c>
      <c r="AL90" s="36"/>
      <c r="AM90" s="21">
        <v>4.6666666666666669E-2</v>
      </c>
      <c r="AN90" s="17">
        <f t="shared" si="142"/>
        <v>-1076400000</v>
      </c>
      <c r="AO90" s="19">
        <f t="shared" si="143"/>
        <v>-1052936636.6372781</v>
      </c>
      <c r="AP90" s="19">
        <f t="shared" si="144"/>
        <v>-1029468270.1589576</v>
      </c>
      <c r="AQ90" s="19">
        <f t="shared" si="145"/>
        <v>-1005989952.2693865</v>
      </c>
      <c r="AR90" s="19">
        <f t="shared" si="146"/>
        <v>-982496843.71198058</v>
      </c>
      <c r="AS90" s="19">
        <f t="shared" si="147"/>
        <v>-958984267.29328024</v>
      </c>
      <c r="AT90" s="19">
        <f t="shared" si="148"/>
        <v>-935447759.13082337</v>
      </c>
      <c r="AU90" s="19">
        <f t="shared" si="149"/>
        <v>-911883117.5631901</v>
      </c>
      <c r="AV90" s="19">
        <f t="shared" si="150"/>
        <v>-888286449.18623614</v>
      </c>
      <c r="AW90" s="19">
        <f t="shared" si="151"/>
        <v>-864654211.51103818</v>
      </c>
      <c r="AX90" s="19">
        <f t="shared" si="152"/>
        <v>-840983251.77614367</v>
      </c>
      <c r="AY90" s="19">
        <f t="shared" si="153"/>
        <v>-817270841.48888958</v>
      </c>
      <c r="AZ90" s="19">
        <f t="shared" si="154"/>
        <v>-793514706.31738937</v>
      </c>
      <c r="BA90" s="19">
        <f t="shared" si="155"/>
        <v>-769713051.00577295</v>
      </c>
      <c r="BB90" s="19">
        <f t="shared" si="156"/>
        <v>-745864579.03982341</v>
      </c>
      <c r="BC90" s="19">
        <f t="shared" si="157"/>
        <v>-721968506.84770906</v>
      </c>
      <c r="BD90" s="19">
        <f t="shared" si="158"/>
        <v>-698024572.3804028</v>
      </c>
      <c r="BE90" s="19">
        <f t="shared" si="159"/>
        <v>-674033037.97798073</v>
      </c>
      <c r="BF90" s="19">
        <f t="shared" si="160"/>
        <v>-649994687.49060249</v>
      </c>
      <c r="BG90" s="19">
        <f t="shared" si="161"/>
        <v>-625910817.68592858</v>
      </c>
      <c r="BH90" s="19">
        <f t="shared" si="162"/>
        <v>-601783224.03731239</v>
      </c>
      <c r="BI90" s="19">
        <f t="shared" si="163"/>
        <v>-577614181.04865623</v>
      </c>
      <c r="BJ90" s="19">
        <f t="shared" si="164"/>
        <v>-553406417.3316561</v>
      </c>
      <c r="BK90" s="19">
        <f t="shared" si="165"/>
        <v>-529163085.70860976</v>
      </c>
      <c r="BL90" s="19">
        <f t="shared" si="166"/>
        <v>-504887728.66844082</v>
      </c>
      <c r="BM90" s="19">
        <f t="shared" si="167"/>
        <v>-480584239.55444813</v>
      </c>
      <c r="BN90" s="19">
        <f t="shared" si="168"/>
        <v>-456256819.90901858</v>
      </c>
      <c r="BO90" s="19">
        <f t="shared" si="169"/>
        <v>-431909933.44259864</v>
      </c>
      <c r="BP90" s="19">
        <f t="shared" si="170"/>
        <v>-407548257.13116479</v>
      </c>
      <c r="BQ90" s="19">
        <f t="shared" si="171"/>
        <v>-383176629.97785747</v>
      </c>
      <c r="BR90" s="17">
        <f t="shared" si="172"/>
        <v>-358800000</v>
      </c>
      <c r="BT90" s="33"/>
      <c r="BU90" s="21">
        <v>4.6666666666666669E-2</v>
      </c>
      <c r="BV90" s="17">
        <f t="shared" si="173"/>
        <v>0.40647187995947059</v>
      </c>
      <c r="BW90" s="19">
        <f t="shared" si="174"/>
        <v>0.40647187995947059</v>
      </c>
      <c r="BX90" s="19">
        <f t="shared" si="175"/>
        <v>0.40647187995947059</v>
      </c>
      <c r="BY90" s="19">
        <f t="shared" si="176"/>
        <v>0.40647187995947059</v>
      </c>
      <c r="BZ90" s="19">
        <f t="shared" si="177"/>
        <v>0.40647187995947059</v>
      </c>
      <c r="CA90" s="19">
        <f t="shared" si="178"/>
        <v>0.40647187995947059</v>
      </c>
      <c r="CB90" s="19">
        <f t="shared" si="179"/>
        <v>0.40647187995947059</v>
      </c>
      <c r="CC90" s="19">
        <f t="shared" si="180"/>
        <v>0.40647187995947059</v>
      </c>
      <c r="CD90" s="19">
        <f t="shared" si="181"/>
        <v>0.40647187995947059</v>
      </c>
      <c r="CE90" s="19">
        <f t="shared" si="182"/>
        <v>0.40647187995947059</v>
      </c>
      <c r="CF90" s="19">
        <f t="shared" si="183"/>
        <v>0.40647187995947059</v>
      </c>
      <c r="CG90" s="19">
        <f t="shared" si="184"/>
        <v>0.40647187995947059</v>
      </c>
      <c r="CH90" s="19">
        <f t="shared" si="185"/>
        <v>0.40647187995947059</v>
      </c>
      <c r="CI90" s="19">
        <f t="shared" si="186"/>
        <v>0.40647187995947059</v>
      </c>
      <c r="CJ90" s="19">
        <f t="shared" si="187"/>
        <v>0.40647187995947059</v>
      </c>
      <c r="CK90" s="19">
        <f t="shared" si="188"/>
        <v>0.40647187995947059</v>
      </c>
      <c r="CL90" s="19">
        <f t="shared" si="189"/>
        <v>0.40647187995947059</v>
      </c>
      <c r="CM90" s="19">
        <f t="shared" si="190"/>
        <v>0.40647187995947059</v>
      </c>
      <c r="CN90" s="19">
        <f t="shared" si="191"/>
        <v>0.40647187995947059</v>
      </c>
      <c r="CO90" s="19">
        <f t="shared" si="192"/>
        <v>0.40647187995947059</v>
      </c>
      <c r="CP90" s="19">
        <f t="shared" si="193"/>
        <v>0.40647187995947059</v>
      </c>
      <c r="CQ90" s="19">
        <f t="shared" si="194"/>
        <v>0.40647187995947059</v>
      </c>
      <c r="CR90" s="19">
        <f t="shared" si="195"/>
        <v>0.40647187995947059</v>
      </c>
      <c r="CS90" s="19">
        <f t="shared" si="196"/>
        <v>0.40647187995947059</v>
      </c>
      <c r="CT90" s="19">
        <f t="shared" si="197"/>
        <v>0.40647187995947059</v>
      </c>
      <c r="CU90" s="19">
        <f t="shared" si="198"/>
        <v>0.40647187995947059</v>
      </c>
      <c r="CV90" s="19">
        <f t="shared" si="199"/>
        <v>0.40647187995947059</v>
      </c>
      <c r="CW90" s="19">
        <f t="shared" si="200"/>
        <v>0.40647187995947059</v>
      </c>
      <c r="CX90" s="19">
        <f t="shared" si="201"/>
        <v>0.40647187995947059</v>
      </c>
      <c r="CY90" s="19">
        <f t="shared" si="202"/>
        <v>0.40647187995947059</v>
      </c>
      <c r="CZ90" s="17">
        <f t="shared" si="203"/>
        <v>0.40647187995947059</v>
      </c>
      <c r="DB90" s="33"/>
      <c r="DC90" s="21">
        <v>4.6666666666666669E-2</v>
      </c>
      <c r="DD90" s="17">
        <f t="shared" si="204"/>
        <v>178.05843601215884</v>
      </c>
      <c r="DE90" s="19">
        <f t="shared" si="205"/>
        <v>174.17710239772157</v>
      </c>
      <c r="DF90" s="19">
        <f t="shared" si="206"/>
        <v>170.29494134669451</v>
      </c>
      <c r="DG90" s="19">
        <f t="shared" si="207"/>
        <v>166.41113448884204</v>
      </c>
      <c r="DH90" s="19">
        <f t="shared" si="208"/>
        <v>162.52488148726951</v>
      </c>
      <c r="DI90" s="19">
        <f t="shared" si="209"/>
        <v>158.63540880776634</v>
      </c>
      <c r="DJ90" s="19">
        <f t="shared" si="210"/>
        <v>154.74197819439539</v>
      </c>
      <c r="DK90" s="19">
        <f t="shared" si="211"/>
        <v>150.84389475844407</v>
      </c>
      <c r="DL90" s="19">
        <f t="shared" si="212"/>
        <v>146.94051459209203</v>
      </c>
      <c r="DM90" s="19">
        <f t="shared" si="213"/>
        <v>143.03125182336387</v>
      </c>
      <c r="DN90" s="19">
        <f t="shared" si="214"/>
        <v>139.11558503506535</v>
      </c>
      <c r="DO90" s="19">
        <f t="shared" si="215"/>
        <v>135.19306297737501</v>
      </c>
      <c r="DP90" s="19">
        <f t="shared" si="216"/>
        <v>131.26330951151019</v>
      </c>
      <c r="DQ90" s="19">
        <f t="shared" si="217"/>
        <v>127.32602773031795</v>
      </c>
      <c r="DR90" s="19">
        <f t="shared" si="218"/>
        <v>123.3810032106647</v>
      </c>
      <c r="DS90" s="19">
        <f t="shared" si="219"/>
        <v>119.42810636201693</v>
      </c>
      <c r="DT90" s="19">
        <f t="shared" si="220"/>
        <v>115.46729384551062</v>
      </c>
      <c r="DU90" s="19">
        <f t="shared" si="221"/>
        <v>111.49860904799539</v>
      </c>
      <c r="DV90" s="19">
        <f t="shared" si="222"/>
        <v>107.52218160589305</v>
      </c>
      <c r="DW90" s="19">
        <f t="shared" si="223"/>
        <v>103.53822598412278</v>
      </c>
      <c r="DX90" s="19">
        <f t="shared" si="224"/>
        <v>99.547039125694184</v>
      </c>
      <c r="DY90" s="19">
        <f t="shared" si="225"/>
        <v>95.54899719775041</v>
      </c>
      <c r="DZ90" s="19">
        <f t="shared" si="226"/>
        <v>91.544551469738039</v>
      </c>
      <c r="EA90" s="19">
        <f t="shared" si="227"/>
        <v>87.534223368883005</v>
      </c>
      <c r="EB90" s="19">
        <f t="shared" si="228"/>
        <v>83.51859876716064</v>
      </c>
      <c r="EC90" s="19">
        <f t="shared" si="229"/>
        <v>79.498321562359692</v>
      </c>
      <c r="ED90" s="19">
        <f t="shared" si="230"/>
        <v>75.474086623567686</v>
      </c>
      <c r="EE90" s="19">
        <f t="shared" si="231"/>
        <v>71.446632178361185</v>
      </c>
      <c r="EF90" s="19">
        <f t="shared" si="232"/>
        <v>67.416731725094223</v>
      </c>
      <c r="EG90" s="19">
        <f t="shared" si="233"/>
        <v>63.385185558875698</v>
      </c>
      <c r="EH90" s="17">
        <f t="shared" si="234"/>
        <v>59.35281200405295</v>
      </c>
    </row>
    <row r="91" spans="5:138" x14ac:dyDescent="0.25">
      <c r="E91" s="35"/>
      <c r="F91" s="21">
        <v>4.3333333333333335E-2</v>
      </c>
      <c r="G91" s="30">
        <f t="shared" si="139"/>
        <v>300</v>
      </c>
      <c r="H91" s="31">
        <f t="shared" si="235"/>
        <v>293.46056079946248</v>
      </c>
      <c r="I91" s="31">
        <f t="shared" si="236"/>
        <v>286.91972763793734</v>
      </c>
      <c r="J91" s="31">
        <f t="shared" si="237"/>
        <v>280.37612182828695</v>
      </c>
      <c r="K91" s="31">
        <f t="shared" si="238"/>
        <v>273.82839506367282</v>
      </c>
      <c r="L91" s="31">
        <f t="shared" si="239"/>
        <v>267.27524419103833</v>
      </c>
      <c r="M91" s="31">
        <f t="shared" si="240"/>
        <v>260.71542548971411</v>
      </c>
      <c r="N91" s="31">
        <f t="shared" si="241"/>
        <v>254.1477682986629</v>
      </c>
      <c r="O91" s="31">
        <f t="shared" si="242"/>
        <v>247.57118784302816</v>
      </c>
      <c r="P91" s="31">
        <f t="shared" si="243"/>
        <v>240.98469711943011</v>
      </c>
      <c r="Q91" s="31">
        <f t="shared" si="244"/>
        <v>234.38741770978146</v>
      </c>
      <c r="R91" s="31">
        <f t="shared" si="245"/>
        <v>227.77858940514352</v>
      </c>
      <c r="S91" s="31">
        <f t="shared" si="246"/>
        <v>221.15757853419376</v>
      </c>
      <c r="T91" s="31">
        <f t="shared" si="247"/>
        <v>214.52388490508031</v>
      </c>
      <c r="U91" s="31">
        <f t="shared" si="248"/>
        <v>207.87714728464053</v>
      </c>
      <c r="V91" s="31">
        <f t="shared" si="249"/>
        <v>201.2171473549964</v>
      </c>
      <c r="W91" s="31">
        <f t="shared" si="250"/>
        <v>194.54381210422656</v>
      </c>
      <c r="X91" s="31">
        <f t="shared" si="251"/>
        <v>187.8572146249787</v>
      </c>
      <c r="Y91" s="31">
        <f t="shared" si="252"/>
        <v>181.15757331232891</v>
      </c>
      <c r="Z91" s="31">
        <f t="shared" si="253"/>
        <v>174.44524946973593</v>
      </c>
      <c r="AA91" s="31">
        <f t="shared" si="254"/>
        <v>167.72074334937349</v>
      </c>
      <c r="AB91" s="31">
        <f t="shared" si="255"/>
        <v>160.98468867027509</v>
      </c>
      <c r="AC91" s="31">
        <f t="shared" si="256"/>
        <v>154.23784567439475</v>
      </c>
      <c r="AD91" s="31">
        <f t="shared" si="257"/>
        <v>147.48109279669603</v>
      </c>
      <c r="AE91" s="31">
        <f t="shared" si="258"/>
        <v>140.71541704055883</v>
      </c>
      <c r="AF91" s="31">
        <f t="shared" si="259"/>
        <v>133.94190316396345</v>
      </c>
      <c r="AG91" s="31">
        <f t="shared" si="260"/>
        <v>127.16172179493164</v>
      </c>
      <c r="AH91" s="31">
        <f t="shared" si="261"/>
        <v>120.37611660642185</v>
      </c>
      <c r="AI91" s="31">
        <f t="shared" si="262"/>
        <v>113.58639069116884</v>
      </c>
      <c r="AJ91" s="31">
        <f t="shared" si="263"/>
        <v>106.79389228571509</v>
      </c>
      <c r="AK91" s="30">
        <f t="shared" si="141"/>
        <v>100</v>
      </c>
      <c r="AL91" s="36"/>
      <c r="AM91" s="21">
        <v>4.3333333333333335E-2</v>
      </c>
      <c r="AN91" s="17">
        <f t="shared" si="142"/>
        <v>-1076400000</v>
      </c>
      <c r="AO91" s="19">
        <f t="shared" si="143"/>
        <v>-1052936488.1605855</v>
      </c>
      <c r="AP91" s="19">
        <f t="shared" si="144"/>
        <v>-1029467974.8328542</v>
      </c>
      <c r="AQ91" s="19">
        <f t="shared" si="145"/>
        <v>-1005989513.3305831</v>
      </c>
      <c r="AR91" s="19">
        <f t="shared" si="146"/>
        <v>-982496265.97110915</v>
      </c>
      <c r="AS91" s="19">
        <f t="shared" si="147"/>
        <v>-958983557.08212137</v>
      </c>
      <c r="AT91" s="19">
        <f t="shared" si="148"/>
        <v>-935446924.23284841</v>
      </c>
      <c r="AU91" s="19">
        <f t="shared" si="149"/>
        <v>-911882167.1281867</v>
      </c>
      <c r="AV91" s="19">
        <f t="shared" si="150"/>
        <v>-888285393.62995195</v>
      </c>
      <c r="AW91" s="19">
        <f t="shared" si="151"/>
        <v>-864653062.4009521</v>
      </c>
      <c r="AX91" s="19">
        <f t="shared" si="152"/>
        <v>-840982021.70461655</v>
      </c>
      <c r="AY91" s="19">
        <f t="shared" si="153"/>
        <v>-817269543.93509209</v>
      </c>
      <c r="AZ91" s="19">
        <f t="shared" si="154"/>
        <v>-793513355.49952281</v>
      </c>
      <c r="BA91" s="19">
        <f t="shared" si="155"/>
        <v>-769711661.72520709</v>
      </c>
      <c r="BB91" s="19">
        <f t="shared" si="156"/>
        <v>-745863166.51886344</v>
      </c>
      <c r="BC91" s="19">
        <f t="shared" si="157"/>
        <v>-721967086.56277037</v>
      </c>
      <c r="BD91" s="19">
        <f t="shared" si="158"/>
        <v>-698023159.89242435</v>
      </c>
      <c r="BE91" s="19">
        <f t="shared" si="159"/>
        <v>-674031648.76193619</v>
      </c>
      <c r="BF91" s="19">
        <f t="shared" si="160"/>
        <v>-649993336.76597714</v>
      </c>
      <c r="BG91" s="19">
        <f t="shared" si="161"/>
        <v>-625909520.2500174</v>
      </c>
      <c r="BH91" s="19">
        <f t="shared" si="162"/>
        <v>-601781994.10316432</v>
      </c>
      <c r="BI91" s="19">
        <f t="shared" si="163"/>
        <v>-577613032.08943784</v>
      </c>
      <c r="BJ91" s="19">
        <f t="shared" si="164"/>
        <v>-553405361.93313444</v>
      </c>
      <c r="BK91" s="19">
        <f t="shared" si="165"/>
        <v>-529162135.43136877</v>
      </c>
      <c r="BL91" s="19">
        <f t="shared" si="166"/>
        <v>-504886893.92133349</v>
      </c>
      <c r="BM91" s="19">
        <f t="shared" si="167"/>
        <v>-480583529.48066825</v>
      </c>
      <c r="BN91" s="19">
        <f t="shared" si="168"/>
        <v>-456256242.28603351</v>
      </c>
      <c r="BO91" s="19">
        <f t="shared" si="169"/>
        <v>-431909494.59703636</v>
      </c>
      <c r="BP91" s="19">
        <f t="shared" si="170"/>
        <v>-407547961.86958241</v>
      </c>
      <c r="BQ91" s="19">
        <f t="shared" si="171"/>
        <v>-383176481.53414607</v>
      </c>
      <c r="BR91" s="17">
        <f t="shared" si="172"/>
        <v>-358800000</v>
      </c>
      <c r="BT91" s="33"/>
      <c r="BU91" s="21">
        <v>4.3333333333333335E-2</v>
      </c>
      <c r="BV91" s="17">
        <f t="shared" si="173"/>
        <v>0.40647188000710688</v>
      </c>
      <c r="BW91" s="19">
        <f t="shared" si="174"/>
        <v>0.40647188000710688</v>
      </c>
      <c r="BX91" s="19">
        <f t="shared" si="175"/>
        <v>0.40647188000710688</v>
      </c>
      <c r="BY91" s="19">
        <f t="shared" si="176"/>
        <v>0.40647188000710688</v>
      </c>
      <c r="BZ91" s="19">
        <f t="shared" si="177"/>
        <v>0.40647188000710688</v>
      </c>
      <c r="CA91" s="19">
        <f t="shared" si="178"/>
        <v>0.40647188000710688</v>
      </c>
      <c r="CB91" s="19">
        <f t="shared" si="179"/>
        <v>0.40647188000710688</v>
      </c>
      <c r="CC91" s="19">
        <f t="shared" si="180"/>
        <v>0.40647188000710688</v>
      </c>
      <c r="CD91" s="19">
        <f t="shared" si="181"/>
        <v>0.40647188000710688</v>
      </c>
      <c r="CE91" s="19">
        <f t="shared" si="182"/>
        <v>0.40647188000710688</v>
      </c>
      <c r="CF91" s="19">
        <f t="shared" si="183"/>
        <v>0.40647188000710688</v>
      </c>
      <c r="CG91" s="19">
        <f t="shared" si="184"/>
        <v>0.40647188000710688</v>
      </c>
      <c r="CH91" s="19">
        <f t="shared" si="185"/>
        <v>0.40647188000710688</v>
      </c>
      <c r="CI91" s="19">
        <f t="shared" si="186"/>
        <v>0.40647188000710688</v>
      </c>
      <c r="CJ91" s="19">
        <f t="shared" si="187"/>
        <v>0.40647188000710688</v>
      </c>
      <c r="CK91" s="19">
        <f t="shared" si="188"/>
        <v>0.40647188000710688</v>
      </c>
      <c r="CL91" s="19">
        <f t="shared" si="189"/>
        <v>0.40647188000710688</v>
      </c>
      <c r="CM91" s="19">
        <f t="shared" si="190"/>
        <v>0.40647188000710688</v>
      </c>
      <c r="CN91" s="19">
        <f t="shared" si="191"/>
        <v>0.40647188000710688</v>
      </c>
      <c r="CO91" s="19">
        <f t="shared" si="192"/>
        <v>0.40647188000710688</v>
      </c>
      <c r="CP91" s="19">
        <f t="shared" si="193"/>
        <v>0.40647188000710688</v>
      </c>
      <c r="CQ91" s="19">
        <f t="shared" si="194"/>
        <v>0.40647188000710688</v>
      </c>
      <c r="CR91" s="19">
        <f t="shared" si="195"/>
        <v>0.40647188000710688</v>
      </c>
      <c r="CS91" s="19">
        <f t="shared" si="196"/>
        <v>0.40647188000710688</v>
      </c>
      <c r="CT91" s="19">
        <f t="shared" si="197"/>
        <v>0.40647188000710688</v>
      </c>
      <c r="CU91" s="19">
        <f t="shared" si="198"/>
        <v>0.40647188000710688</v>
      </c>
      <c r="CV91" s="19">
        <f t="shared" si="199"/>
        <v>0.40647188000710688</v>
      </c>
      <c r="CW91" s="19">
        <f t="shared" si="200"/>
        <v>0.40647188000710688</v>
      </c>
      <c r="CX91" s="19">
        <f t="shared" si="201"/>
        <v>0.40647188000710688</v>
      </c>
      <c r="CY91" s="19">
        <f t="shared" si="202"/>
        <v>0.40647188000710688</v>
      </c>
      <c r="CZ91" s="17">
        <f t="shared" si="203"/>
        <v>0.40647188000710688</v>
      </c>
      <c r="DB91" s="33"/>
      <c r="DC91" s="21">
        <v>4.3333333333333335E-2</v>
      </c>
      <c r="DD91" s="17">
        <f t="shared" si="204"/>
        <v>178.05843599786795</v>
      </c>
      <c r="DE91" s="19">
        <f t="shared" si="205"/>
        <v>174.17707834746409</v>
      </c>
      <c r="DF91" s="19">
        <f t="shared" si="206"/>
        <v>170.29489352390448</v>
      </c>
      <c r="DG91" s="19">
        <f t="shared" si="207"/>
        <v>166.41106341749727</v>
      </c>
      <c r="DH91" s="19">
        <f t="shared" si="208"/>
        <v>162.52478794614359</v>
      </c>
      <c r="DI91" s="19">
        <f t="shared" si="209"/>
        <v>158.63529382188526</v>
      </c>
      <c r="DJ91" s="19">
        <f t="shared" si="210"/>
        <v>154.74184302379351</v>
      </c>
      <c r="DK91" s="19">
        <f t="shared" si="211"/>
        <v>150.84374088434302</v>
      </c>
      <c r="DL91" s="19">
        <f t="shared" si="212"/>
        <v>146.94034370065455</v>
      </c>
      <c r="DM91" s="19">
        <f t="shared" si="213"/>
        <v>143.03106578720187</v>
      </c>
      <c r="DN91" s="19">
        <f t="shared" si="214"/>
        <v>139.11538589270455</v>
      </c>
      <c r="DO91" s="19">
        <f t="shared" si="215"/>
        <v>135.19285291090321</v>
      </c>
      <c r="DP91" s="19">
        <f t="shared" si="216"/>
        <v>131.26309082265374</v>
      </c>
      <c r="DQ91" s="19">
        <f t="shared" si="217"/>
        <v>127.32580281521007</v>
      </c>
      <c r="DR91" s="19">
        <f t="shared" si="218"/>
        <v>123.38077453358208</v>
      </c>
      <c r="DS91" s="19">
        <f t="shared" si="219"/>
        <v>119.42787642837314</v>
      </c>
      <c r="DT91" s="19">
        <f t="shared" si="220"/>
        <v>115.46706517440236</v>
      </c>
      <c r="DU91" s="19">
        <f t="shared" si="221"/>
        <v>111.49838414460284</v>
      </c>
      <c r="DV91" s="19">
        <f t="shared" si="222"/>
        <v>107.5219629340364</v>
      </c>
      <c r="DW91" s="19">
        <f t="shared" si="223"/>
        <v>103.53801593927554</v>
      </c>
      <c r="DX91" s="19">
        <f t="shared" si="224"/>
        <v>99.546840008748703</v>
      </c>
      <c r="DY91" s="19">
        <f t="shared" si="225"/>
        <v>95.548811189822473</v>
      </c>
      <c r="DZ91" s="19">
        <f t="shared" si="226"/>
        <v>91.544380608286019</v>
      </c>
      <c r="EA91" s="19">
        <f t="shared" si="227"/>
        <v>87.534069525402487</v>
      </c>
      <c r="EB91" s="19">
        <f t="shared" si="228"/>
        <v>83.518463626698264</v>
      </c>
      <c r="EC91" s="19">
        <f t="shared" si="229"/>
        <v>79.498206605069683</v>
      </c>
      <c r="ED91" s="19">
        <f t="shared" si="230"/>
        <v>75.473993108512417</v>
      </c>
      <c r="EE91" s="19">
        <f t="shared" si="231"/>
        <v>71.446561129732572</v>
      </c>
      <c r="EF91" s="19">
        <f t="shared" si="232"/>
        <v>67.416683921006111</v>
      </c>
      <c r="EG91" s="19">
        <f t="shared" si="233"/>
        <v>63.385161522849508</v>
      </c>
      <c r="EH91" s="17">
        <f t="shared" si="234"/>
        <v>59.352811999289315</v>
      </c>
    </row>
    <row r="92" spans="5:138" x14ac:dyDescent="0.25">
      <c r="E92" s="35"/>
      <c r="F92" s="21">
        <v>0.04</v>
      </c>
      <c r="G92" s="30">
        <f t="shared" si="139"/>
        <v>300</v>
      </c>
      <c r="H92" s="31">
        <f t="shared" si="235"/>
        <v>293.46052093357088</v>
      </c>
      <c r="I92" s="31">
        <f t="shared" si="236"/>
        <v>286.91964834307817</v>
      </c>
      <c r="J92" s="31">
        <f t="shared" si="237"/>
        <v>280.37600397351497</v>
      </c>
      <c r="K92" s="31">
        <f t="shared" si="238"/>
        <v>273.82823994063949</v>
      </c>
      <c r="L92" s="31">
        <f t="shared" si="239"/>
        <v>267.27505349982232</v>
      </c>
      <c r="M92" s="31">
        <f t="shared" si="240"/>
        <v>260.71520132017235</v>
      </c>
      <c r="N92" s="31">
        <f t="shared" si="241"/>
        <v>254.14751310750702</v>
      </c>
      <c r="O92" s="31">
        <f t="shared" si="242"/>
        <v>247.57090442687945</v>
      </c>
      <c r="P92" s="31">
        <f t="shared" si="243"/>
        <v>240.9843885841488</v>
      </c>
      <c r="Q92" s="31">
        <f t="shared" si="244"/>
        <v>234.38708743640794</v>
      </c>
      <c r="R92" s="31">
        <f t="shared" si="245"/>
        <v>227.77824101282604</v>
      </c>
      <c r="S92" s="31">
        <f t="shared" si="246"/>
        <v>221.15721584050965</v>
      </c>
      <c r="T92" s="31">
        <f t="shared" si="247"/>
        <v>214.52351188418743</v>
      </c>
      <c r="U92" s="31">
        <f t="shared" si="248"/>
        <v>207.87676802371749</v>
      </c>
      <c r="V92" s="31">
        <f t="shared" si="249"/>
        <v>201.21676600945023</v>
      </c>
      <c r="W92" s="31">
        <f t="shared" si="250"/>
        <v>194.5434328521589</v>
      </c>
      <c r="X92" s="31">
        <f t="shared" si="251"/>
        <v>187.85684162140956</v>
      </c>
      <c r="Y92" s="31">
        <f t="shared" si="252"/>
        <v>181.1572106436798</v>
      </c>
      <c r="Z92" s="31">
        <f t="shared" si="253"/>
        <v>174.44490110907051</v>
      </c>
      <c r="AA92" s="31">
        <f t="shared" si="254"/>
        <v>167.72041311288581</v>
      </c>
      <c r="AB92" s="31">
        <f t="shared" si="255"/>
        <v>160.98438017550126</v>
      </c>
      <c r="AC92" s="31">
        <f t="shared" si="256"/>
        <v>154.23756230060476</v>
      </c>
      <c r="AD92" s="31">
        <f t="shared" si="257"/>
        <v>147.48083764789888</v>
      </c>
      <c r="AE92" s="31">
        <f t="shared" si="258"/>
        <v>140.7151929115245</v>
      </c>
      <c r="AF92" s="31">
        <f t="shared" si="259"/>
        <v>133.94171250963325</v>
      </c>
      <c r="AG92" s="31">
        <f t="shared" si="260"/>
        <v>127.16156670355038</v>
      </c>
      <c r="AH92" s="31">
        <f t="shared" si="261"/>
        <v>120.37599877668487</v>
      </c>
      <c r="AI92" s="31">
        <f t="shared" si="262"/>
        <v>113.58631141363344</v>
      </c>
      <c r="AJ92" s="31">
        <f t="shared" si="263"/>
        <v>106.79385242867887</v>
      </c>
      <c r="AK92" s="30">
        <f t="shared" si="141"/>
        <v>100</v>
      </c>
      <c r="AL92" s="36"/>
      <c r="AM92" s="21">
        <v>0.04</v>
      </c>
      <c r="AN92" s="17">
        <f t="shared" si="142"/>
        <v>-1076400000</v>
      </c>
      <c r="AO92" s="19">
        <f t="shared" si="143"/>
        <v>-1052936343.1868441</v>
      </c>
      <c r="AP92" s="19">
        <f t="shared" si="144"/>
        <v>-1029467686.4742613</v>
      </c>
      <c r="AQ92" s="19">
        <f t="shared" si="145"/>
        <v>-1005989084.7474874</v>
      </c>
      <c r="AR92" s="19">
        <f t="shared" si="146"/>
        <v>-982495701.86064744</v>
      </c>
      <c r="AS92" s="19">
        <f t="shared" si="147"/>
        <v>-958982863.62669086</v>
      </c>
      <c r="AT92" s="19">
        <f t="shared" si="148"/>
        <v>-935446109.03228831</v>
      </c>
      <c r="AU92" s="19">
        <f t="shared" si="149"/>
        <v>-911881239.11641657</v>
      </c>
      <c r="AV92" s="19">
        <f t="shared" si="150"/>
        <v>-888284362.97698557</v>
      </c>
      <c r="AW92" s="19">
        <f t="shared" si="151"/>
        <v>-864651940.40136111</v>
      </c>
      <c r="AX92" s="19">
        <f t="shared" si="152"/>
        <v>-840980820.65367556</v>
      </c>
      <c r="AY92" s="19">
        <f t="shared" si="153"/>
        <v>-817268276.99396288</v>
      </c>
      <c r="AZ92" s="19">
        <f t="shared" si="154"/>
        <v>-793512036.55096209</v>
      </c>
      <c r="BA92" s="19">
        <f t="shared" si="155"/>
        <v>-769710305.22138202</v>
      </c>
      <c r="BB92" s="19">
        <f t="shared" si="156"/>
        <v>-745861787.32294536</v>
      </c>
      <c r="BC92" s="19">
        <f t="shared" si="157"/>
        <v>-721965699.78604579</v>
      </c>
      <c r="BD92" s="19">
        <f t="shared" si="158"/>
        <v>-698021780.72870934</v>
      </c>
      <c r="BE92" s="19">
        <f t="shared" si="159"/>
        <v>-674030292.32110977</v>
      </c>
      <c r="BF92" s="19">
        <f t="shared" si="160"/>
        <v>-649992017.90845716</v>
      </c>
      <c r="BG92" s="19">
        <f t="shared" si="161"/>
        <v>-625908253.42399204</v>
      </c>
      <c r="BH92" s="19">
        <f t="shared" si="162"/>
        <v>-601780793.18635988</v>
      </c>
      <c r="BI92" s="19">
        <f t="shared" si="163"/>
        <v>-577611910.23715377</v>
      </c>
      <c r="BJ92" s="19">
        <f t="shared" si="164"/>
        <v>-553404331.43420708</v>
      </c>
      <c r="BK92" s="19">
        <f t="shared" si="165"/>
        <v>-529161207.57363772</v>
      </c>
      <c r="BL92" s="19">
        <f t="shared" si="166"/>
        <v>-504886078.8680799</v>
      </c>
      <c r="BM92" s="19">
        <f t="shared" si="167"/>
        <v>-480582836.15937418</v>
      </c>
      <c r="BN92" s="19">
        <f t="shared" si="168"/>
        <v>-456255678.29067588</v>
      </c>
      <c r="BO92" s="19">
        <f t="shared" si="169"/>
        <v>-431909066.10498148</v>
      </c>
      <c r="BP92" s="19">
        <f t="shared" si="170"/>
        <v>-407547673.57398802</v>
      </c>
      <c r="BQ92" s="19">
        <f t="shared" si="171"/>
        <v>-383176336.59260768</v>
      </c>
      <c r="BR92" s="17">
        <f t="shared" si="172"/>
        <v>-358800000</v>
      </c>
      <c r="BT92" s="33"/>
      <c r="BU92" s="21">
        <v>0.04</v>
      </c>
      <c r="BV92" s="17">
        <f t="shared" si="173"/>
        <v>0.40647188029542825</v>
      </c>
      <c r="BW92" s="19">
        <f t="shared" si="174"/>
        <v>0.40647188029542825</v>
      </c>
      <c r="BX92" s="19">
        <f t="shared" si="175"/>
        <v>0.40647188029542825</v>
      </c>
      <c r="BY92" s="19">
        <f t="shared" si="176"/>
        <v>0.40647188029542825</v>
      </c>
      <c r="BZ92" s="19">
        <f t="shared" si="177"/>
        <v>0.40647188029542825</v>
      </c>
      <c r="CA92" s="19">
        <f t="shared" si="178"/>
        <v>0.40647188029542825</v>
      </c>
      <c r="CB92" s="19">
        <f t="shared" si="179"/>
        <v>0.40647188029542825</v>
      </c>
      <c r="CC92" s="19">
        <f t="shared" si="180"/>
        <v>0.40647188029542825</v>
      </c>
      <c r="CD92" s="19">
        <f t="shared" si="181"/>
        <v>0.40647188029542825</v>
      </c>
      <c r="CE92" s="19">
        <f t="shared" si="182"/>
        <v>0.40647188029542825</v>
      </c>
      <c r="CF92" s="19">
        <f t="shared" si="183"/>
        <v>0.40647188029542825</v>
      </c>
      <c r="CG92" s="19">
        <f t="shared" si="184"/>
        <v>0.40647188029542825</v>
      </c>
      <c r="CH92" s="19">
        <f t="shared" si="185"/>
        <v>0.40647188029542825</v>
      </c>
      <c r="CI92" s="19">
        <f t="shared" si="186"/>
        <v>0.40647188029542825</v>
      </c>
      <c r="CJ92" s="19">
        <f t="shared" si="187"/>
        <v>0.40647188029542825</v>
      </c>
      <c r="CK92" s="19">
        <f t="shared" si="188"/>
        <v>0.40647188029542825</v>
      </c>
      <c r="CL92" s="19">
        <f t="shared" si="189"/>
        <v>0.40647188029542825</v>
      </c>
      <c r="CM92" s="19">
        <f t="shared" si="190"/>
        <v>0.40647188029542825</v>
      </c>
      <c r="CN92" s="19">
        <f t="shared" si="191"/>
        <v>0.40647188029542825</v>
      </c>
      <c r="CO92" s="19">
        <f t="shared" si="192"/>
        <v>0.40647188029542825</v>
      </c>
      <c r="CP92" s="19">
        <f t="shared" si="193"/>
        <v>0.40647188029542825</v>
      </c>
      <c r="CQ92" s="19">
        <f t="shared" si="194"/>
        <v>0.40647188029542825</v>
      </c>
      <c r="CR92" s="19">
        <f t="shared" si="195"/>
        <v>0.40647188029542825</v>
      </c>
      <c r="CS92" s="19">
        <f t="shared" si="196"/>
        <v>0.40647188029542825</v>
      </c>
      <c r="CT92" s="19">
        <f t="shared" si="197"/>
        <v>0.40647188029542825</v>
      </c>
      <c r="CU92" s="19">
        <f t="shared" si="198"/>
        <v>0.40647188029542825</v>
      </c>
      <c r="CV92" s="19">
        <f t="shared" si="199"/>
        <v>0.40647188029542825</v>
      </c>
      <c r="CW92" s="19">
        <f t="shared" si="200"/>
        <v>0.40647188029542825</v>
      </c>
      <c r="CX92" s="19">
        <f t="shared" si="201"/>
        <v>0.40647188029542825</v>
      </c>
      <c r="CY92" s="19">
        <f t="shared" si="202"/>
        <v>0.40647188029542825</v>
      </c>
      <c r="CZ92" s="17">
        <f t="shared" si="203"/>
        <v>0.40647188029542825</v>
      </c>
      <c r="DB92" s="33"/>
      <c r="DC92" s="21">
        <v>0.04</v>
      </c>
      <c r="DD92" s="17">
        <f t="shared" si="204"/>
        <v>178.05843591137156</v>
      </c>
      <c r="DE92" s="19">
        <f t="shared" si="205"/>
        <v>174.17705499286254</v>
      </c>
      <c r="DF92" s="19">
        <f t="shared" si="206"/>
        <v>170.29484715623366</v>
      </c>
      <c r="DG92" s="19">
        <f t="shared" si="207"/>
        <v>166.4109945440311</v>
      </c>
      <c r="DH92" s="19">
        <f t="shared" si="208"/>
        <v>162.52469732082903</v>
      </c>
      <c r="DI92" s="19">
        <f t="shared" si="209"/>
        <v>158.63518243707125</v>
      </c>
      <c r="DJ92" s="19">
        <f t="shared" si="210"/>
        <v>154.74171209934562</v>
      </c>
      <c r="DK92" s="19">
        <f t="shared" si="211"/>
        <v>150.84359185426268</v>
      </c>
      <c r="DL92" s="19">
        <f t="shared" si="212"/>
        <v>146.94017819735112</v>
      </c>
      <c r="DM92" s="19">
        <f t="shared" si="213"/>
        <v>143.0308856235898</v>
      </c>
      <c r="DN92" s="19">
        <f t="shared" si="214"/>
        <v>139.11519304232311</v>
      </c>
      <c r="DO92" s="19">
        <f t="shared" si="215"/>
        <v>135.19264948627705</v>
      </c>
      <c r="DP92" s="19">
        <f t="shared" si="216"/>
        <v>131.26287905213209</v>
      </c>
      <c r="DQ92" s="19">
        <f t="shared" si="217"/>
        <v>127.32558501853939</v>
      </c>
      <c r="DR92" s="19">
        <f t="shared" si="218"/>
        <v>123.38055309647997</v>
      </c>
      <c r="DS92" s="19">
        <f t="shared" si="219"/>
        <v>119.4276537763826</v>
      </c>
      <c r="DT92" s="19">
        <f t="shared" si="220"/>
        <v>115.46684374631346</v>
      </c>
      <c r="DU92" s="19">
        <f t="shared" si="221"/>
        <v>111.49816636573266</v>
      </c>
      <c r="DV92" s="19">
        <f t="shared" si="222"/>
        <v>107.52175118966058</v>
      </c>
      <c r="DW92" s="19">
        <f t="shared" si="223"/>
        <v>103.53781254850189</v>
      </c>
      <c r="DX92" s="19">
        <f t="shared" si="224"/>
        <v>99.546647199119036</v>
      </c>
      <c r="DY92" s="19">
        <f t="shared" si="225"/>
        <v>95.548631072920429</v>
      </c>
      <c r="DZ92" s="19">
        <f t="shared" si="226"/>
        <v>91.544215156617454</v>
      </c>
      <c r="EA92" s="19">
        <f t="shared" si="227"/>
        <v>87.533920550801312</v>
      </c>
      <c r="EB92" s="19">
        <f t="shared" si="228"/>
        <v>83.518332760493195</v>
      </c>
      <c r="EC92" s="19">
        <f t="shared" si="229"/>
        <v>79.498095280228867</v>
      </c>
      <c r="ED92" s="19">
        <f t="shared" si="230"/>
        <v>75.473902543960378</v>
      </c>
      <c r="EE92" s="19">
        <f t="shared" si="231"/>
        <v>71.446492317010851</v>
      </c>
      <c r="EF92" s="19">
        <f t="shared" si="232"/>
        <v>67.416637613422907</v>
      </c>
      <c r="EG92" s="19">
        <f t="shared" si="233"/>
        <v>63.385138227236837</v>
      </c>
      <c r="EH92" s="17">
        <f t="shared" si="234"/>
        <v>59.352811970457175</v>
      </c>
    </row>
    <row r="93" spans="5:138" x14ac:dyDescent="0.25">
      <c r="E93" s="35"/>
      <c r="F93" s="21">
        <v>3.6666666666666667E-2</v>
      </c>
      <c r="G93" s="30">
        <f t="shared" si="139"/>
        <v>300</v>
      </c>
      <c r="H93" s="31">
        <f t="shared" si="235"/>
        <v>293.46048249830926</v>
      </c>
      <c r="I93" s="31">
        <f t="shared" si="236"/>
        <v>286.91957189379951</v>
      </c>
      <c r="J93" s="31">
        <f t="shared" si="237"/>
        <v>280.37589034808701</v>
      </c>
      <c r="K93" s="31">
        <f t="shared" si="238"/>
        <v>273.82809038436142</v>
      </c>
      <c r="L93" s="31">
        <f t="shared" si="239"/>
        <v>267.27486965176377</v>
      </c>
      <c r="M93" s="31">
        <f t="shared" si="240"/>
        <v>260.71498519519332</v>
      </c>
      <c r="N93" s="31">
        <f t="shared" si="241"/>
        <v>254.14726707415753</v>
      </c>
      <c r="O93" s="31">
        <f t="shared" si="242"/>
        <v>247.57063118142099</v>
      </c>
      <c r="P93" s="31">
        <f t="shared" si="243"/>
        <v>240.9840911209846</v>
      </c>
      <c r="Q93" s="31">
        <f t="shared" si="244"/>
        <v>234.3867690152461</v>
      </c>
      <c r="R93" s="31">
        <f t="shared" si="245"/>
        <v>227.77790512293774</v>
      </c>
      <c r="S93" s="31">
        <f t="shared" si="246"/>
        <v>221.1568661624745</v>
      </c>
      <c r="T93" s="31">
        <f t="shared" si="247"/>
        <v>214.52315224954629</v>
      </c>
      <c r="U93" s="31">
        <f t="shared" si="248"/>
        <v>207.87640237297632</v>
      </c>
      <c r="V93" s="31">
        <f t="shared" si="249"/>
        <v>201.21639834889481</v>
      </c>
      <c r="W93" s="31">
        <f t="shared" si="250"/>
        <v>194.54306720995524</v>
      </c>
      <c r="X93" s="31">
        <f t="shared" si="251"/>
        <v>187.85648200347032</v>
      </c>
      <c r="Y93" s="31">
        <f t="shared" si="252"/>
        <v>181.15686098978094</v>
      </c>
      <c r="Z93" s="31">
        <f t="shared" si="253"/>
        <v>174.44456524969806</v>
      </c>
      <c r="AA93" s="31">
        <f t="shared" si="254"/>
        <v>167.7200947272857</v>
      </c>
      <c r="AB93" s="31">
        <f t="shared" si="255"/>
        <v>160.98408275139045</v>
      </c>
      <c r="AC93" s="31">
        <f t="shared" si="256"/>
        <v>154.23728909598458</v>
      </c>
      <c r="AD93" s="31">
        <f t="shared" si="257"/>
        <v>147.48059165538757</v>
      </c>
      <c r="AE93" s="31">
        <f t="shared" si="258"/>
        <v>140.71497682559882</v>
      </c>
      <c r="AF93" s="31">
        <f t="shared" si="259"/>
        <v>133.94152869713639</v>
      </c>
      <c r="AG93" s="31">
        <f t="shared" si="260"/>
        <v>127.16141717778819</v>
      </c>
      <c r="AH93" s="31">
        <f t="shared" si="261"/>
        <v>120.37588517539321</v>
      </c>
      <c r="AI93" s="31">
        <f t="shared" si="262"/>
        <v>113.58623498105663</v>
      </c>
      <c r="AJ93" s="31">
        <f t="shared" si="263"/>
        <v>106.79381400195477</v>
      </c>
      <c r="AK93" s="30">
        <f t="shared" si="141"/>
        <v>100</v>
      </c>
      <c r="AL93" s="36"/>
      <c r="AM93" s="21">
        <v>3.6666666666666667E-2</v>
      </c>
      <c r="AN93" s="17">
        <f t="shared" si="142"/>
        <v>-1076400000</v>
      </c>
      <c r="AO93" s="19">
        <f t="shared" si="143"/>
        <v>-1052936203.4156685</v>
      </c>
      <c r="AP93" s="19">
        <f t="shared" si="144"/>
        <v>-1029467408.4637803</v>
      </c>
      <c r="AQ93" s="19">
        <f t="shared" si="145"/>
        <v>-1005988671.5446367</v>
      </c>
      <c r="AR93" s="19">
        <f t="shared" si="146"/>
        <v>-982495157.99400151</v>
      </c>
      <c r="AS93" s="19">
        <f t="shared" si="147"/>
        <v>-958982195.0567832</v>
      </c>
      <c r="AT93" s="19">
        <f t="shared" si="148"/>
        <v>-935445323.08622849</v>
      </c>
      <c r="AU93" s="19">
        <f t="shared" si="149"/>
        <v>-911880344.40751958</v>
      </c>
      <c r="AV93" s="19">
        <f t="shared" si="150"/>
        <v>-888283369.31030083</v>
      </c>
      <c r="AW93" s="19">
        <f t="shared" si="151"/>
        <v>-864650858.66614068</v>
      </c>
      <c r="AX93" s="19">
        <f t="shared" si="152"/>
        <v>-840979662.70396209</v>
      </c>
      <c r="AY93" s="19">
        <f t="shared" si="153"/>
        <v>-817267055.51861358</v>
      </c>
      <c r="AZ93" s="19">
        <f t="shared" si="154"/>
        <v>-793510764.93453348</v>
      </c>
      <c r="BA93" s="19">
        <f t="shared" si="155"/>
        <v>-769708997.39740717</v>
      </c>
      <c r="BB93" s="19">
        <f t="shared" si="156"/>
        <v>-745860457.62121177</v>
      </c>
      <c r="BC93" s="19">
        <f t="shared" si="157"/>
        <v>-721964362.77555215</v>
      </c>
      <c r="BD93" s="19">
        <f t="shared" si="158"/>
        <v>-698020451.05802262</v>
      </c>
      <c r="BE93" s="19">
        <f t="shared" si="159"/>
        <v>-674028984.55787158</v>
      </c>
      <c r="BF93" s="19">
        <f t="shared" si="160"/>
        <v>-649990746.3798008</v>
      </c>
      <c r="BG93" s="19">
        <f t="shared" si="161"/>
        <v>-625907032.05961442</v>
      </c>
      <c r="BH93" s="19">
        <f t="shared" si="162"/>
        <v>-601779635.36596763</v>
      </c>
      <c r="BI93" s="19">
        <f t="shared" si="163"/>
        <v>-577610828.64395189</v>
      </c>
      <c r="BJ93" s="19">
        <f t="shared" si="164"/>
        <v>-553403337.91603172</v>
      </c>
      <c r="BK93" s="19">
        <f t="shared" si="165"/>
        <v>-529160313.01324999</v>
      </c>
      <c r="BL93" s="19">
        <f t="shared" si="166"/>
        <v>-504885293.06403893</v>
      </c>
      <c r="BM93" s="19">
        <f t="shared" si="167"/>
        <v>-480582167.71878797</v>
      </c>
      <c r="BN93" s="19">
        <f t="shared" si="168"/>
        <v>-456255134.53500175</v>
      </c>
      <c r="BO93" s="19">
        <f t="shared" si="169"/>
        <v>-431908652.98990333</v>
      </c>
      <c r="BP93" s="19">
        <f t="shared" si="170"/>
        <v>-407547395.62424403</v>
      </c>
      <c r="BQ93" s="19">
        <f t="shared" si="171"/>
        <v>-383176196.85247886</v>
      </c>
      <c r="BR93" s="17">
        <f t="shared" si="172"/>
        <v>-358800000</v>
      </c>
      <c r="BT93" s="33"/>
      <c r="BU93" s="21">
        <v>3.6666666666666667E-2</v>
      </c>
      <c r="BV93" s="17">
        <f t="shared" si="173"/>
        <v>0.40647188204051027</v>
      </c>
      <c r="BW93" s="19">
        <f t="shared" si="174"/>
        <v>0.40647188204051027</v>
      </c>
      <c r="BX93" s="19">
        <f t="shared" si="175"/>
        <v>0.40647188204051027</v>
      </c>
      <c r="BY93" s="19">
        <f t="shared" si="176"/>
        <v>0.40647188204051027</v>
      </c>
      <c r="BZ93" s="19">
        <f t="shared" si="177"/>
        <v>0.40647188204051027</v>
      </c>
      <c r="CA93" s="19">
        <f t="shared" si="178"/>
        <v>0.40647188204051027</v>
      </c>
      <c r="CB93" s="19">
        <f t="shared" si="179"/>
        <v>0.40647188204051027</v>
      </c>
      <c r="CC93" s="19">
        <f t="shared" si="180"/>
        <v>0.40647188204051027</v>
      </c>
      <c r="CD93" s="19">
        <f t="shared" si="181"/>
        <v>0.40647188204051027</v>
      </c>
      <c r="CE93" s="19">
        <f t="shared" si="182"/>
        <v>0.40647188204051027</v>
      </c>
      <c r="CF93" s="19">
        <f t="shared" si="183"/>
        <v>0.40647188204051027</v>
      </c>
      <c r="CG93" s="19">
        <f t="shared" si="184"/>
        <v>0.40647188204051027</v>
      </c>
      <c r="CH93" s="19">
        <f t="shared" si="185"/>
        <v>0.40647188204051027</v>
      </c>
      <c r="CI93" s="19">
        <f t="shared" si="186"/>
        <v>0.40647188204051027</v>
      </c>
      <c r="CJ93" s="19">
        <f t="shared" si="187"/>
        <v>0.40647188204051027</v>
      </c>
      <c r="CK93" s="19">
        <f t="shared" si="188"/>
        <v>0.40647188204051027</v>
      </c>
      <c r="CL93" s="19">
        <f t="shared" si="189"/>
        <v>0.40647188204051027</v>
      </c>
      <c r="CM93" s="19">
        <f t="shared" si="190"/>
        <v>0.40647188204051027</v>
      </c>
      <c r="CN93" s="19">
        <f t="shared" si="191"/>
        <v>0.40647188204051027</v>
      </c>
      <c r="CO93" s="19">
        <f t="shared" si="192"/>
        <v>0.40647188204051027</v>
      </c>
      <c r="CP93" s="19">
        <f t="shared" si="193"/>
        <v>0.40647188204051027</v>
      </c>
      <c r="CQ93" s="19">
        <f t="shared" si="194"/>
        <v>0.40647188204051027</v>
      </c>
      <c r="CR93" s="19">
        <f t="shared" si="195"/>
        <v>0.40647188204051027</v>
      </c>
      <c r="CS93" s="19">
        <f t="shared" si="196"/>
        <v>0.40647188204051027</v>
      </c>
      <c r="CT93" s="19">
        <f t="shared" si="197"/>
        <v>0.40647188204051027</v>
      </c>
      <c r="CU93" s="19">
        <f t="shared" si="198"/>
        <v>0.40647188204051027</v>
      </c>
      <c r="CV93" s="19">
        <f t="shared" si="199"/>
        <v>0.40647188204051027</v>
      </c>
      <c r="CW93" s="19">
        <f t="shared" si="200"/>
        <v>0.40647188204051027</v>
      </c>
      <c r="CX93" s="19">
        <f t="shared" si="201"/>
        <v>0.40647188204051027</v>
      </c>
      <c r="CY93" s="19">
        <f t="shared" si="202"/>
        <v>0.40647188204051027</v>
      </c>
      <c r="CZ93" s="17">
        <f t="shared" si="203"/>
        <v>0.40647188204051027</v>
      </c>
      <c r="DB93" s="33"/>
      <c r="DC93" s="21">
        <v>3.6666666666666667E-2</v>
      </c>
      <c r="DD93" s="17">
        <f t="shared" si="204"/>
        <v>178.05843538784694</v>
      </c>
      <c r="DE93" s="19">
        <f t="shared" si="205"/>
        <v>174.17703224985218</v>
      </c>
      <c r="DF93" s="19">
        <f t="shared" si="206"/>
        <v>170.29480243738715</v>
      </c>
      <c r="DG93" s="19">
        <f t="shared" si="207"/>
        <v>166.41092833397479</v>
      </c>
      <c r="DH93" s="19">
        <f t="shared" si="208"/>
        <v>162.52461033984926</v>
      </c>
      <c r="DI93" s="19">
        <f t="shared" si="209"/>
        <v>158.63507563321289</v>
      </c>
      <c r="DJ93" s="19">
        <f t="shared" si="210"/>
        <v>154.74158663801231</v>
      </c>
      <c r="DK93" s="19">
        <f t="shared" si="211"/>
        <v>150.84344910543388</v>
      </c>
      <c r="DL93" s="19">
        <f t="shared" si="212"/>
        <v>146.94001972055602</v>
      </c>
      <c r="DM93" s="19">
        <f t="shared" si="213"/>
        <v>143.03071315080399</v>
      </c>
      <c r="DN93" s="19">
        <f t="shared" si="214"/>
        <v>139.11500845897572</v>
      </c>
      <c r="DO93" s="19">
        <f t="shared" si="215"/>
        <v>135.1924548105774</v>
      </c>
      <c r="DP93" s="19">
        <f t="shared" si="216"/>
        <v>131.26267641294319</v>
      </c>
      <c r="DQ93" s="19">
        <f t="shared" si="217"/>
        <v>127.32537663204087</v>
      </c>
      <c r="DR93" s="19">
        <f t="shared" si="218"/>
        <v>123.3803412418773</v>
      </c>
      <c r="DS93" s="19">
        <f t="shared" si="219"/>
        <v>119.42744077092861</v>
      </c>
      <c r="DT93" s="19">
        <f t="shared" si="220"/>
        <v>115.46663191991658</v>
      </c>
      <c r="DU93" s="19">
        <f t="shared" si="221"/>
        <v>111.49795803542993</v>
      </c>
      <c r="DV93" s="19">
        <f t="shared" si="222"/>
        <v>107.52154863423524</v>
      </c>
      <c r="DW93" s="19">
        <f t="shared" si="223"/>
        <v>103.53761798352348</v>
      </c>
      <c r="DX93" s="19">
        <f t="shared" si="224"/>
        <v>99.546462752679119</v>
      </c>
      <c r="DY93" s="19">
        <f t="shared" si="225"/>
        <v>95.548458762329432</v>
      </c>
      <c r="DZ93" s="19">
        <f t="shared" si="226"/>
        <v>91.544056866317291</v>
      </c>
      <c r="EA93" s="19">
        <f t="shared" si="227"/>
        <v>87.53377801173518</v>
      </c>
      <c r="EB93" s="19">
        <f t="shared" si="228"/>
        <v>83.518207531157998</v>
      </c>
      <c r="EC93" s="19">
        <f t="shared" si="229"/>
        <v>79.497988729616807</v>
      </c>
      <c r="ED93" s="19">
        <f t="shared" si="230"/>
        <v>75.473815836576193</v>
      </c>
      <c r="EE93" s="19">
        <f t="shared" si="231"/>
        <v>71.446426400127947</v>
      </c>
      <c r="EF93" s="19">
        <f t="shared" si="232"/>
        <v>67.416593206717565</v>
      </c>
      <c r="EG93" s="19">
        <f t="shared" si="233"/>
        <v>63.385115814913149</v>
      </c>
      <c r="EH93" s="17">
        <f t="shared" si="234"/>
        <v>59.35281179594898</v>
      </c>
    </row>
    <row r="94" spans="5:138" x14ac:dyDescent="0.25">
      <c r="E94" s="35"/>
      <c r="F94" s="21">
        <v>3.3333333333333333E-2</v>
      </c>
      <c r="G94" s="30">
        <f t="shared" si="139"/>
        <v>300</v>
      </c>
      <c r="H94" s="31">
        <f t="shared" si="235"/>
        <v>293.4604459442711</v>
      </c>
      <c r="I94" s="31">
        <f t="shared" si="236"/>
        <v>286.91949918634987</v>
      </c>
      <c r="J94" s="31">
        <f t="shared" si="237"/>
        <v>280.37578228408404</v>
      </c>
      <c r="K94" s="31">
        <f t="shared" si="238"/>
        <v>273.8279481481527</v>
      </c>
      <c r="L94" s="31">
        <f t="shared" si="239"/>
        <v>267.27469480219429</v>
      </c>
      <c r="M94" s="31">
        <f t="shared" si="240"/>
        <v>260.71477964850527</v>
      </c>
      <c r="N94" s="31">
        <f t="shared" si="241"/>
        <v>254.14703308297163</v>
      </c>
      <c r="O94" s="31">
        <f t="shared" si="242"/>
        <v>247.57037131002966</v>
      </c>
      <c r="P94" s="31">
        <f t="shared" si="243"/>
        <v>240.9838082172291</v>
      </c>
      <c r="Q94" s="31">
        <f t="shared" si="244"/>
        <v>234.38646617928731</v>
      </c>
      <c r="R94" s="31">
        <f t="shared" si="245"/>
        <v>227.77758567326364</v>
      </c>
      <c r="S94" s="31">
        <f t="shared" si="246"/>
        <v>221.15653359951779</v>
      </c>
      <c r="T94" s="31">
        <f t="shared" si="247"/>
        <v>214.52281021731213</v>
      </c>
      <c r="U94" s="31">
        <f t="shared" si="248"/>
        <v>207.87605461910158</v>
      </c>
      <c r="V94" s="31">
        <f t="shared" si="249"/>
        <v>201.21604868357667</v>
      </c>
      <c r="W94" s="31">
        <f t="shared" si="250"/>
        <v>194.54271946420005</v>
      </c>
      <c r="X94" s="31">
        <f t="shared" si="251"/>
        <v>187.85613998712046</v>
      </c>
      <c r="Y94" s="31">
        <f t="shared" si="252"/>
        <v>181.15652844977893</v>
      </c>
      <c r="Z94" s="31">
        <f t="shared" si="253"/>
        <v>174.44424582904594</v>
      </c>
      <c r="AA94" s="31">
        <f t="shared" si="254"/>
        <v>167.71979192514772</v>
      </c>
      <c r="AB94" s="31">
        <f t="shared" si="255"/>
        <v>160.98379988477643</v>
      </c>
      <c r="AC94" s="31">
        <f t="shared" si="256"/>
        <v>154.23702926343219</v>
      </c>
      <c r="AD94" s="31">
        <f t="shared" si="257"/>
        <v>147.48035770304068</v>
      </c>
      <c r="AE94" s="31">
        <f t="shared" si="258"/>
        <v>140.71477131605232</v>
      </c>
      <c r="AF94" s="31">
        <f t="shared" si="259"/>
        <v>133.94135388138767</v>
      </c>
      <c r="AG94" s="31">
        <f t="shared" si="260"/>
        <v>127.16127497060144</v>
      </c>
      <c r="AH94" s="31">
        <f t="shared" si="261"/>
        <v>120.37577713434487</v>
      </c>
      <c r="AI94" s="31">
        <f t="shared" si="262"/>
        <v>113.58616228949123</v>
      </c>
      <c r="AJ94" s="31">
        <f t="shared" si="263"/>
        <v>106.79377745603618</v>
      </c>
      <c r="AK94" s="30">
        <f t="shared" si="141"/>
        <v>100</v>
      </c>
      <c r="AL94" s="36"/>
      <c r="AM94" s="21">
        <v>3.3333333333333333E-2</v>
      </c>
      <c r="AN94" s="17">
        <f t="shared" si="142"/>
        <v>-1076400000</v>
      </c>
      <c r="AO94" s="19">
        <f t="shared" si="143"/>
        <v>-1052936070.4856536</v>
      </c>
      <c r="AP94" s="19">
        <f t="shared" si="144"/>
        <v>-1029467144.0606436</v>
      </c>
      <c r="AQ94" s="19">
        <f t="shared" si="145"/>
        <v>-1005988278.5661799</v>
      </c>
      <c r="AR94" s="19">
        <f t="shared" si="146"/>
        <v>-982494640.7471453</v>
      </c>
      <c r="AS94" s="19">
        <f t="shared" si="147"/>
        <v>-958981559.21032071</v>
      </c>
      <c r="AT94" s="19">
        <f t="shared" si="148"/>
        <v>-935444575.60864043</v>
      </c>
      <c r="AU94" s="19">
        <f t="shared" si="149"/>
        <v>-911879493.49053848</v>
      </c>
      <c r="AV94" s="19">
        <f t="shared" si="150"/>
        <v>-888282424.27906394</v>
      </c>
      <c r="AW94" s="19">
        <f t="shared" si="151"/>
        <v>-864649829.8769207</v>
      </c>
      <c r="AX94" s="19">
        <f t="shared" si="152"/>
        <v>-840978561.43060076</v>
      </c>
      <c r="AY94" s="19">
        <f t="shared" si="153"/>
        <v>-817265893.82890594</v>
      </c>
      <c r="AZ94" s="19">
        <f t="shared" si="154"/>
        <v>-793509555.55792332</v>
      </c>
      <c r="BA94" s="19">
        <f t="shared" si="155"/>
        <v>-769707753.58544433</v>
      </c>
      <c r="BB94" s="19">
        <f t="shared" si="156"/>
        <v>-745859193.0023067</v>
      </c>
      <c r="BC94" s="19">
        <f t="shared" si="157"/>
        <v>-721963091.20561743</v>
      </c>
      <c r="BD94" s="19">
        <f t="shared" si="158"/>
        <v>-698019186.4686445</v>
      </c>
      <c r="BE94" s="19">
        <f t="shared" si="159"/>
        <v>-674027740.80367255</v>
      </c>
      <c r="BF94" s="19">
        <f t="shared" si="160"/>
        <v>-649989537.08666623</v>
      </c>
      <c r="BG94" s="19">
        <f t="shared" si="161"/>
        <v>-625905870.47544611</v>
      </c>
      <c r="BH94" s="19">
        <f t="shared" si="162"/>
        <v>-601778534.21559668</v>
      </c>
      <c r="BI94" s="19">
        <f t="shared" si="163"/>
        <v>-577609799.98979819</v>
      </c>
      <c r="BJ94" s="19">
        <f t="shared" si="164"/>
        <v>-553402393.02603388</v>
      </c>
      <c r="BK94" s="19">
        <f t="shared" si="165"/>
        <v>-529159462.23750794</v>
      </c>
      <c r="BL94" s="19">
        <f t="shared" si="166"/>
        <v>-504884545.72151703</v>
      </c>
      <c r="BM94" s="19">
        <f t="shared" si="167"/>
        <v>-480581531.99531555</v>
      </c>
      <c r="BN94" s="19">
        <f t="shared" si="168"/>
        <v>-456254617.39368451</v>
      </c>
      <c r="BO94" s="19">
        <f t="shared" si="169"/>
        <v>-431908260.09492159</v>
      </c>
      <c r="BP94" s="19">
        <f t="shared" si="170"/>
        <v>-407547131.27887058</v>
      </c>
      <c r="BQ94" s="19">
        <f t="shared" si="171"/>
        <v>-383176063.95199114</v>
      </c>
      <c r="BR94" s="17">
        <f t="shared" si="172"/>
        <v>-358800000</v>
      </c>
      <c r="BT94" s="33"/>
      <c r="BU94" s="21">
        <v>3.3333333333333333E-2</v>
      </c>
      <c r="BV94" s="17">
        <f t="shared" si="173"/>
        <v>0.40647189260272093</v>
      </c>
      <c r="BW94" s="19">
        <f t="shared" si="174"/>
        <v>0.40647189260272093</v>
      </c>
      <c r="BX94" s="19">
        <f t="shared" si="175"/>
        <v>0.40647189260272093</v>
      </c>
      <c r="BY94" s="19">
        <f t="shared" si="176"/>
        <v>0.40647189260272093</v>
      </c>
      <c r="BZ94" s="19">
        <f t="shared" si="177"/>
        <v>0.40647189260272093</v>
      </c>
      <c r="CA94" s="19">
        <f t="shared" si="178"/>
        <v>0.40647189260272093</v>
      </c>
      <c r="CB94" s="19">
        <f t="shared" si="179"/>
        <v>0.40647189260272093</v>
      </c>
      <c r="CC94" s="19">
        <f t="shared" si="180"/>
        <v>0.40647189260272093</v>
      </c>
      <c r="CD94" s="19">
        <f t="shared" si="181"/>
        <v>0.40647189260272093</v>
      </c>
      <c r="CE94" s="19">
        <f t="shared" si="182"/>
        <v>0.40647189260272093</v>
      </c>
      <c r="CF94" s="19">
        <f t="shared" si="183"/>
        <v>0.40647189260272093</v>
      </c>
      <c r="CG94" s="19">
        <f t="shared" si="184"/>
        <v>0.40647189260272093</v>
      </c>
      <c r="CH94" s="19">
        <f t="shared" si="185"/>
        <v>0.40647189260272093</v>
      </c>
      <c r="CI94" s="19">
        <f t="shared" si="186"/>
        <v>0.40647189260272093</v>
      </c>
      <c r="CJ94" s="19">
        <f t="shared" si="187"/>
        <v>0.40647189260272093</v>
      </c>
      <c r="CK94" s="19">
        <f t="shared" si="188"/>
        <v>0.40647189260272093</v>
      </c>
      <c r="CL94" s="19">
        <f t="shared" si="189"/>
        <v>0.40647189260272093</v>
      </c>
      <c r="CM94" s="19">
        <f t="shared" si="190"/>
        <v>0.40647189260272093</v>
      </c>
      <c r="CN94" s="19">
        <f t="shared" si="191"/>
        <v>0.40647189260272093</v>
      </c>
      <c r="CO94" s="19">
        <f t="shared" si="192"/>
        <v>0.40647189260272093</v>
      </c>
      <c r="CP94" s="19">
        <f t="shared" si="193"/>
        <v>0.40647189260272093</v>
      </c>
      <c r="CQ94" s="19">
        <f t="shared" si="194"/>
        <v>0.40647189260272093</v>
      </c>
      <c r="CR94" s="19">
        <f t="shared" si="195"/>
        <v>0.40647189260272093</v>
      </c>
      <c r="CS94" s="19">
        <f t="shared" si="196"/>
        <v>0.40647189260272093</v>
      </c>
      <c r="CT94" s="19">
        <f t="shared" si="197"/>
        <v>0.40647189260272093</v>
      </c>
      <c r="CU94" s="19">
        <f t="shared" si="198"/>
        <v>0.40647189260272093</v>
      </c>
      <c r="CV94" s="19">
        <f t="shared" si="199"/>
        <v>0.40647189260272093</v>
      </c>
      <c r="CW94" s="19">
        <f t="shared" si="200"/>
        <v>0.40647189260272093</v>
      </c>
      <c r="CX94" s="19">
        <f t="shared" si="201"/>
        <v>0.40647189260272093</v>
      </c>
      <c r="CY94" s="19">
        <f t="shared" si="202"/>
        <v>0.40647189260272093</v>
      </c>
      <c r="CZ94" s="17">
        <f t="shared" si="203"/>
        <v>0.40647189260272093</v>
      </c>
      <c r="DB94" s="33"/>
      <c r="DC94" s="21">
        <v>3.3333333333333333E-2</v>
      </c>
      <c r="DD94" s="17">
        <f t="shared" si="204"/>
        <v>178.05843221918371</v>
      </c>
      <c r="DE94" s="19">
        <f t="shared" si="205"/>
        <v>174.1770082190757</v>
      </c>
      <c r="DF94" s="19">
        <f t="shared" si="206"/>
        <v>170.29475777391471</v>
      </c>
      <c r="DG94" s="19">
        <f t="shared" si="207"/>
        <v>166.41086349412413</v>
      </c>
      <c r="DH94" s="19">
        <f t="shared" si="208"/>
        <v>162.52452600183241</v>
      </c>
      <c r="DI94" s="19">
        <f t="shared" si="209"/>
        <v>158.6349726896963</v>
      </c>
      <c r="DJ94" s="19">
        <f t="shared" si="210"/>
        <v>154.74146618632466</v>
      </c>
      <c r="DK94" s="19">
        <f t="shared" si="211"/>
        <v>150.84331243552964</v>
      </c>
      <c r="DL94" s="19">
        <f t="shared" si="212"/>
        <v>146.93986830086726</v>
      </c>
      <c r="DM94" s="19">
        <f t="shared" si="213"/>
        <v>143.03054861213593</v>
      </c>
      <c r="DN94" s="19">
        <f t="shared" si="214"/>
        <v>139.11483257662346</v>
      </c>
      <c r="DO94" s="19">
        <f t="shared" si="215"/>
        <v>135.19226948486013</v>
      </c>
      <c r="DP94" s="19">
        <f t="shared" si="216"/>
        <v>131.26248364837011</v>
      </c>
      <c r="DQ94" s="19">
        <f t="shared" si="217"/>
        <v>127.3251785153374</v>
      </c>
      <c r="DR94" s="19">
        <f t="shared" si="218"/>
        <v>123.38013991911313</v>
      </c>
      <c r="DS94" s="19">
        <f t="shared" si="219"/>
        <v>119.42723842399838</v>
      </c>
      <c r="DT94" s="19">
        <f t="shared" si="220"/>
        <v>115.4664307426312</v>
      </c>
      <c r="DU94" s="19">
        <f t="shared" si="221"/>
        <v>111.49776020948087</v>
      </c>
      <c r="DV94" s="19">
        <f t="shared" si="222"/>
        <v>107.52135630529465</v>
      </c>
      <c r="DW94" s="19">
        <f t="shared" si="223"/>
        <v>103.53743323774232</v>
      </c>
      <c r="DX94" s="19">
        <f t="shared" si="224"/>
        <v>99.546287593840276</v>
      </c>
      <c r="DY94" s="19">
        <f t="shared" si="225"/>
        <v>95.548295089905736</v>
      </c>
      <c r="DZ94" s="19">
        <f t="shared" si="226"/>
        <v>91.543906454674328</v>
      </c>
      <c r="EA94" s="19">
        <f t="shared" si="227"/>
        <v>87.533642490706242</v>
      </c>
      <c r="EB94" s="19">
        <f t="shared" si="228"/>
        <v>83.518088368203152</v>
      </c>
      <c r="EC94" s="19">
        <f t="shared" si="229"/>
        <v>79.49788721376099</v>
      </c>
      <c r="ED94" s="19">
        <f t="shared" si="230"/>
        <v>75.473733064301726</v>
      </c>
      <c r="EE94" s="19">
        <f t="shared" si="231"/>
        <v>71.446363263374977</v>
      </c>
      <c r="EF94" s="19">
        <f t="shared" si="232"/>
        <v>67.416550383123749</v>
      </c>
      <c r="EG94" s="19">
        <f t="shared" si="233"/>
        <v>63.385093760398668</v>
      </c>
      <c r="EH94" s="17">
        <f t="shared" si="234"/>
        <v>59.352810739727914</v>
      </c>
    </row>
    <row r="95" spans="5:138" x14ac:dyDescent="0.25">
      <c r="E95" s="35"/>
      <c r="F95" s="21">
        <v>3.0000000000000002E-2</v>
      </c>
      <c r="G95" s="30">
        <f t="shared" si="139"/>
        <v>300</v>
      </c>
      <c r="H95" s="31">
        <f t="shared" si="235"/>
        <v>293.46041169998927</v>
      </c>
      <c r="I95" s="31">
        <f t="shared" si="236"/>
        <v>286.91943107309822</v>
      </c>
      <c r="J95" s="31">
        <f t="shared" si="237"/>
        <v>280.3756810483693</v>
      </c>
      <c r="K95" s="31">
        <f t="shared" si="238"/>
        <v>273.82781489948673</v>
      </c>
      <c r="L95" s="31">
        <f t="shared" si="239"/>
        <v>267.27453100092242</v>
      </c>
      <c r="M95" s="31">
        <f t="shared" si="240"/>
        <v>260.7145870897873</v>
      </c>
      <c r="N95" s="31">
        <f t="shared" si="241"/>
        <v>254.14681387709101</v>
      </c>
      <c r="O95" s="31">
        <f t="shared" si="242"/>
        <v>247.57012785924763</v>
      </c>
      <c r="P95" s="31">
        <f t="shared" si="243"/>
        <v>240.9835431894391</v>
      </c>
      <c r="Q95" s="31">
        <f t="shared" si="244"/>
        <v>234.38618247875905</v>
      </c>
      <c r="R95" s="31">
        <f t="shared" si="245"/>
        <v>227.7772864087982</v>
      </c>
      <c r="S95" s="31">
        <f t="shared" si="246"/>
        <v>221.15622205036453</v>
      </c>
      <c r="T95" s="31">
        <f t="shared" si="247"/>
        <v>214.52248979722083</v>
      </c>
      <c r="U95" s="31">
        <f t="shared" si="248"/>
        <v>207.8757288389055</v>
      </c>
      <c r="V95" s="31">
        <f t="shared" si="249"/>
        <v>201.21572111271638</v>
      </c>
      <c r="W95" s="31">
        <f t="shared" si="250"/>
        <v>194.54239369161041</v>
      </c>
      <c r="X95" s="31">
        <f t="shared" si="251"/>
        <v>187.85581958190954</v>
      </c>
      <c r="Y95" s="31">
        <f t="shared" si="252"/>
        <v>181.15621692212972</v>
      </c>
      <c r="Z95" s="31">
        <f t="shared" si="253"/>
        <v>174.44394659176839</v>
      </c>
      <c r="AA95" s="31">
        <f t="shared" si="254"/>
        <v>167.71950825630284</v>
      </c>
      <c r="AB95" s="31">
        <f t="shared" si="255"/>
        <v>160.98353489178072</v>
      </c>
      <c r="AC95" s="31">
        <f t="shared" si="256"/>
        <v>154.23678584903459</v>
      </c>
      <c r="AD95" s="31">
        <f t="shared" si="257"/>
        <v>147.48013853354453</v>
      </c>
      <c r="AE95" s="31">
        <f t="shared" si="258"/>
        <v>140.71457879212869</v>
      </c>
      <c r="AF95" s="31">
        <f t="shared" si="259"/>
        <v>133.94119011179924</v>
      </c>
      <c r="AG95" s="31">
        <f t="shared" si="260"/>
        <v>127.16114174912327</v>
      </c>
      <c r="AH95" s="31">
        <f t="shared" si="261"/>
        <v>120.37567592013419</v>
      </c>
      <c r="AI95" s="31">
        <f t="shared" si="262"/>
        <v>113.58609419111998</v>
      </c>
      <c r="AJ95" s="31">
        <f t="shared" si="263"/>
        <v>106.79374321936073</v>
      </c>
      <c r="AK95" s="30">
        <f t="shared" si="141"/>
        <v>100</v>
      </c>
      <c r="AL95" s="36"/>
      <c r="AM95" s="21">
        <v>3.0000000000000002E-2</v>
      </c>
      <c r="AN95" s="17">
        <f t="shared" si="142"/>
        <v>-1076400000</v>
      </c>
      <c r="AO95" s="19">
        <f t="shared" si="143"/>
        <v>-1052935945.95517</v>
      </c>
      <c r="AP95" s="19">
        <f t="shared" si="144"/>
        <v>-1029466896.3645111</v>
      </c>
      <c r="AQ95" s="19">
        <f t="shared" si="145"/>
        <v>-1005987910.4190954</v>
      </c>
      <c r="AR95" s="19">
        <f t="shared" si="146"/>
        <v>-982494156.18388581</v>
      </c>
      <c r="AS95" s="19">
        <f t="shared" si="147"/>
        <v>-958980963.54148173</v>
      </c>
      <c r="AT95" s="19">
        <f t="shared" si="148"/>
        <v>-935443875.36238074</v>
      </c>
      <c r="AU95" s="19">
        <f t="shared" si="149"/>
        <v>-911878696.34097457</v>
      </c>
      <c r="AV95" s="19">
        <f t="shared" si="150"/>
        <v>-888281538.96209991</v>
      </c>
      <c r="AW95" s="19">
        <f t="shared" si="151"/>
        <v>-864648866.09444082</v>
      </c>
      <c r="AX95" s="19">
        <f t="shared" si="152"/>
        <v>-840977529.74407947</v>
      </c>
      <c r="AY95" s="19">
        <f t="shared" si="153"/>
        <v>-817264805.54360342</v>
      </c>
      <c r="AZ95" s="19">
        <f t="shared" si="154"/>
        <v>-793508422.59893978</v>
      </c>
      <c r="BA95" s="19">
        <f t="shared" si="155"/>
        <v>-769706588.36699617</v>
      </c>
      <c r="BB95" s="19">
        <f t="shared" si="156"/>
        <v>-745858008.29165673</v>
      </c>
      <c r="BC95" s="19">
        <f t="shared" si="157"/>
        <v>-721961899.98315668</v>
      </c>
      <c r="BD95" s="19">
        <f t="shared" si="158"/>
        <v>-698018001.78565538</v>
      </c>
      <c r="BE95" s="19">
        <f t="shared" si="159"/>
        <v>-674026575.63933706</v>
      </c>
      <c r="BF95" s="19">
        <f t="shared" si="160"/>
        <v>-649988404.20588255</v>
      </c>
      <c r="BG95" s="19">
        <f t="shared" si="161"/>
        <v>-625904782.28901279</v>
      </c>
      <c r="BH95" s="19">
        <f t="shared" si="162"/>
        <v>-601777502.64429283</v>
      </c>
      <c r="BI95" s="19">
        <f t="shared" si="163"/>
        <v>-577608836.3338486</v>
      </c>
      <c r="BJ95" s="19">
        <f t="shared" si="164"/>
        <v>-553401507.84138262</v>
      </c>
      <c r="BK95" s="19">
        <f t="shared" si="165"/>
        <v>-529158665.22025698</v>
      </c>
      <c r="BL95" s="19">
        <f t="shared" si="166"/>
        <v>-504883845.60178763</v>
      </c>
      <c r="BM95" s="19">
        <f t="shared" si="167"/>
        <v>-480580936.44169402</v>
      </c>
      <c r="BN95" s="19">
        <f t="shared" si="168"/>
        <v>-456254132.92929435</v>
      </c>
      <c r="BO95" s="19">
        <f t="shared" si="169"/>
        <v>-431907892.0260371</v>
      </c>
      <c r="BP95" s="19">
        <f t="shared" si="170"/>
        <v>-407546883.63685101</v>
      </c>
      <c r="BQ95" s="19">
        <f t="shared" si="171"/>
        <v>-383175939.44916826</v>
      </c>
      <c r="BR95" s="17">
        <f t="shared" si="172"/>
        <v>-358800000</v>
      </c>
      <c r="BT95" s="33"/>
      <c r="BU95" s="21">
        <v>3.0000000000000002E-2</v>
      </c>
      <c r="BV95" s="17">
        <f t="shared" si="173"/>
        <v>0.40647195653111551</v>
      </c>
      <c r="BW95" s="19">
        <f t="shared" si="174"/>
        <v>0.40647195653111551</v>
      </c>
      <c r="BX95" s="19">
        <f t="shared" si="175"/>
        <v>0.40647195653111551</v>
      </c>
      <c r="BY95" s="19">
        <f t="shared" si="176"/>
        <v>0.40647195653111551</v>
      </c>
      <c r="BZ95" s="19">
        <f t="shared" si="177"/>
        <v>0.40647195653111551</v>
      </c>
      <c r="CA95" s="19">
        <f t="shared" si="178"/>
        <v>0.40647195653111551</v>
      </c>
      <c r="CB95" s="19">
        <f t="shared" si="179"/>
        <v>0.40647195653111551</v>
      </c>
      <c r="CC95" s="19">
        <f t="shared" si="180"/>
        <v>0.40647195653111551</v>
      </c>
      <c r="CD95" s="19">
        <f t="shared" si="181"/>
        <v>0.40647195653111551</v>
      </c>
      <c r="CE95" s="19">
        <f t="shared" si="182"/>
        <v>0.40647195653111551</v>
      </c>
      <c r="CF95" s="19">
        <f t="shared" si="183"/>
        <v>0.40647195653111551</v>
      </c>
      <c r="CG95" s="19">
        <f t="shared" si="184"/>
        <v>0.40647195653111551</v>
      </c>
      <c r="CH95" s="19">
        <f t="shared" si="185"/>
        <v>0.40647195653111551</v>
      </c>
      <c r="CI95" s="19">
        <f t="shared" si="186"/>
        <v>0.40647195653111551</v>
      </c>
      <c r="CJ95" s="19">
        <f t="shared" si="187"/>
        <v>0.40647195653111551</v>
      </c>
      <c r="CK95" s="19">
        <f t="shared" si="188"/>
        <v>0.40647195653111551</v>
      </c>
      <c r="CL95" s="19">
        <f t="shared" si="189"/>
        <v>0.40647195653111551</v>
      </c>
      <c r="CM95" s="19">
        <f t="shared" si="190"/>
        <v>0.40647195653111551</v>
      </c>
      <c r="CN95" s="19">
        <f t="shared" si="191"/>
        <v>0.40647195653111551</v>
      </c>
      <c r="CO95" s="19">
        <f t="shared" si="192"/>
        <v>0.40647195653111551</v>
      </c>
      <c r="CP95" s="19">
        <f t="shared" si="193"/>
        <v>0.40647195653111551</v>
      </c>
      <c r="CQ95" s="19">
        <f t="shared" si="194"/>
        <v>0.40647195653111551</v>
      </c>
      <c r="CR95" s="19">
        <f t="shared" si="195"/>
        <v>0.40647195653111551</v>
      </c>
      <c r="CS95" s="19">
        <f t="shared" si="196"/>
        <v>0.40647195653111551</v>
      </c>
      <c r="CT95" s="19">
        <f t="shared" si="197"/>
        <v>0.40647195653111551</v>
      </c>
      <c r="CU95" s="19">
        <f t="shared" si="198"/>
        <v>0.40647195653111551</v>
      </c>
      <c r="CV95" s="19">
        <f t="shared" si="199"/>
        <v>0.40647195653111551</v>
      </c>
      <c r="CW95" s="19">
        <f t="shared" si="200"/>
        <v>0.40647195653111551</v>
      </c>
      <c r="CX95" s="19">
        <f t="shared" si="201"/>
        <v>0.40647195653111551</v>
      </c>
      <c r="CY95" s="19">
        <f t="shared" si="202"/>
        <v>0.40647195653111551</v>
      </c>
      <c r="CZ95" s="17">
        <f t="shared" si="203"/>
        <v>0.40647195653111551</v>
      </c>
      <c r="DB95" s="33"/>
      <c r="DC95" s="21">
        <v>3.0000000000000002E-2</v>
      </c>
      <c r="DD95" s="17">
        <f t="shared" si="204"/>
        <v>178.05841304066536</v>
      </c>
      <c r="DE95" s="19">
        <f t="shared" si="205"/>
        <v>174.17697007252772</v>
      </c>
      <c r="DF95" s="19">
        <f t="shared" si="206"/>
        <v>170.29470087189478</v>
      </c>
      <c r="DG95" s="19">
        <f t="shared" si="207"/>
        <v>166.41078825941557</v>
      </c>
      <c r="DH95" s="19">
        <f t="shared" si="208"/>
        <v>162.52443306280622</v>
      </c>
      <c r="DI95" s="19">
        <f t="shared" si="209"/>
        <v>158.63486287341775</v>
      </c>
      <c r="DJ95" s="19">
        <f t="shared" si="210"/>
        <v>154.74134050948072</v>
      </c>
      <c r="DK95" s="19">
        <f t="shared" si="211"/>
        <v>150.84317209327739</v>
      </c>
      <c r="DL95" s="19">
        <f t="shared" si="212"/>
        <v>146.93971465372513</v>
      </c>
      <c r="DM95" s="19">
        <f t="shared" si="213"/>
        <v>143.03038317106288</v>
      </c>
      <c r="DN95" s="19">
        <f t="shared" si="214"/>
        <v>139.11465698645</v>
      </c>
      <c r="DO95" s="19">
        <f t="shared" si="215"/>
        <v>135.19208550625297</v>
      </c>
      <c r="DP95" s="19">
        <f t="shared" si="216"/>
        <v>131.26229313852915</v>
      </c>
      <c r="DQ95" s="19">
        <f t="shared" si="217"/>
        <v>127.32498340763679</v>
      </c>
      <c r="DR95" s="19">
        <f t="shared" si="218"/>
        <v>123.37994220191025</v>
      </c>
      <c r="DS95" s="19">
        <f t="shared" si="219"/>
        <v>119.42704011884277</v>
      </c>
      <c r="DT95" s="19">
        <f t="shared" si="220"/>
        <v>115.46623388211309</v>
      </c>
      <c r="DU95" s="19">
        <f t="shared" si="221"/>
        <v>111.49756681496159</v>
      </c>
      <c r="DV95" s="19">
        <f t="shared" si="222"/>
        <v>107.52116836476338</v>
      </c>
      <c r="DW95" s="19">
        <f t="shared" si="223"/>
        <v>103.53725268404119</v>
      </c>
      <c r="DX95" s="19">
        <f t="shared" si="224"/>
        <v>99.546116283496474</v>
      </c>
      <c r="DY95" s="19">
        <f t="shared" si="225"/>
        <v>95.548134782802094</v>
      </c>
      <c r="DZ95" s="19">
        <f t="shared" si="226"/>
        <v>91.543758794780388</v>
      </c>
      <c r="EA95" s="19">
        <f t="shared" si="227"/>
        <v>87.533508988080811</v>
      </c>
      <c r="EB95" s="19">
        <f t="shared" si="228"/>
        <v>83.517970382464412</v>
      </c>
      <c r="EC95" s="19">
        <f t="shared" si="229"/>
        <v>79.497785939205073</v>
      </c>
      <c r="ED95" s="19">
        <f t="shared" si="230"/>
        <v>75.473649516831742</v>
      </c>
      <c r="EE95" s="19">
        <f t="shared" si="231"/>
        <v>71.446298269383504</v>
      </c>
      <c r="EF95" s="19">
        <f t="shared" si="232"/>
        <v>67.416504570449675</v>
      </c>
      <c r="EG95" s="19">
        <f t="shared" si="233"/>
        <v>63.385067551457176</v>
      </c>
      <c r="EH95" s="17">
        <f t="shared" si="234"/>
        <v>59.352804346888455</v>
      </c>
    </row>
    <row r="96" spans="5:138" x14ac:dyDescent="0.25">
      <c r="E96" s="35"/>
      <c r="F96" s="21">
        <v>2.6666666666666668E-2</v>
      </c>
      <c r="G96" s="30">
        <f t="shared" si="139"/>
        <v>300</v>
      </c>
      <c r="H96" s="31">
        <f t="shared" si="235"/>
        <v>293.46038016691313</v>
      </c>
      <c r="I96" s="31">
        <f t="shared" si="236"/>
        <v>286.91936835254353</v>
      </c>
      <c r="J96" s="31">
        <f t="shared" si="237"/>
        <v>280.37558782773993</v>
      </c>
      <c r="K96" s="31">
        <f t="shared" si="238"/>
        <v>273.82769220045174</v>
      </c>
      <c r="L96" s="31">
        <f t="shared" si="239"/>
        <v>267.27438016820798</v>
      </c>
      <c r="M96" s="31">
        <f t="shared" si="240"/>
        <v>260.7144097764259</v>
      </c>
      <c r="N96" s="31">
        <f t="shared" si="241"/>
        <v>254.1466120262896</v>
      </c>
      <c r="O96" s="31">
        <f t="shared" si="242"/>
        <v>247.56990368307441</v>
      </c>
      <c r="P96" s="31">
        <f t="shared" si="243"/>
        <v>240.98329914456374</v>
      </c>
      <c r="Q96" s="31">
        <f t="shared" si="244"/>
        <v>234.3859212395129</v>
      </c>
      <c r="R96" s="31">
        <f t="shared" si="245"/>
        <v>227.77701083785081</v>
      </c>
      <c r="S96" s="31">
        <f t="shared" si="246"/>
        <v>221.15593516733878</v>
      </c>
      <c r="T96" s="31">
        <f t="shared" si="247"/>
        <v>214.52219474559143</v>
      </c>
      <c r="U96" s="31">
        <f t="shared" si="248"/>
        <v>207.87542885154426</v>
      </c>
      <c r="V96" s="31">
        <f t="shared" si="249"/>
        <v>201.21541947646222</v>
      </c>
      <c r="W96" s="31">
        <f t="shared" si="250"/>
        <v>194.5420937112533</v>
      </c>
      <c r="X96" s="31">
        <f t="shared" si="251"/>
        <v>187.85552454398231</v>
      </c>
      <c r="Y96" s="31">
        <f t="shared" si="252"/>
        <v>181.15593005890531</v>
      </c>
      <c r="Z96" s="31">
        <f t="shared" si="253"/>
        <v>174.44367104585609</v>
      </c>
      <c r="AA96" s="31">
        <f t="shared" si="254"/>
        <v>167.7192470462314</v>
      </c>
      <c r="AB96" s="31">
        <f t="shared" si="255"/>
        <v>160.98329087894462</v>
      </c>
      <c r="AC96" s="31">
        <f t="shared" si="256"/>
        <v>154.23656170636488</v>
      </c>
      <c r="AD96" s="31">
        <f t="shared" si="257"/>
        <v>147.47993671624661</v>
      </c>
      <c r="AE96" s="31">
        <f t="shared" si="258"/>
        <v>140.71440151080657</v>
      </c>
      <c r="AF96" s="31">
        <f t="shared" si="259"/>
        <v>133.94103930825952</v>
      </c>
      <c r="AG96" s="31">
        <f t="shared" si="260"/>
        <v>127.16101907512336</v>
      </c>
      <c r="AH96" s="31">
        <f t="shared" si="261"/>
        <v>120.37558271930619</v>
      </c>
      <c r="AI96" s="31">
        <f t="shared" si="262"/>
        <v>113.58603148426747</v>
      </c>
      <c r="AJ96" s="31">
        <f t="shared" si="263"/>
        <v>106.7937116932887</v>
      </c>
      <c r="AK96" s="30">
        <f t="shared" si="141"/>
        <v>100</v>
      </c>
      <c r="AL96" s="36"/>
      <c r="AM96" s="21">
        <v>2.6666666666666668E-2</v>
      </c>
      <c r="AN96" s="17">
        <f t="shared" si="142"/>
        <v>-1076400000</v>
      </c>
      <c r="AO96" s="19">
        <f t="shared" si="143"/>
        <v>-1052935831.2840967</v>
      </c>
      <c r="AP96" s="19">
        <f t="shared" si="144"/>
        <v>-1029466668.2791415</v>
      </c>
      <c r="AQ96" s="19">
        <f t="shared" si="145"/>
        <v>-1005987571.4191967</v>
      </c>
      <c r="AR96" s="19">
        <f t="shared" si="146"/>
        <v>-982493709.98479092</v>
      </c>
      <c r="AS96" s="19">
        <f t="shared" si="147"/>
        <v>-958980415.03333211</v>
      </c>
      <c r="AT96" s="19">
        <f t="shared" si="148"/>
        <v>-935443230.55648339</v>
      </c>
      <c r="AU96" s="19">
        <f t="shared" si="149"/>
        <v>-911877962.30386591</v>
      </c>
      <c r="AV96" s="19">
        <f t="shared" si="150"/>
        <v>-888280723.73803902</v>
      </c>
      <c r="AW96" s="19">
        <f t="shared" si="151"/>
        <v>-864647978.61718822</v>
      </c>
      <c r="AX96" s="19">
        <f t="shared" si="152"/>
        <v>-840976579.73892927</v>
      </c>
      <c r="AY96" s="19">
        <f t="shared" si="153"/>
        <v>-817263803.420748</v>
      </c>
      <c r="AZ96" s="19">
        <f t="shared" si="154"/>
        <v>-793507379.33933783</v>
      </c>
      <c r="BA96" s="19">
        <f t="shared" si="155"/>
        <v>-769705515.40199697</v>
      </c>
      <c r="BB96" s="19">
        <f t="shared" si="156"/>
        <v>-745856917.37770557</v>
      </c>
      <c r="BC96" s="19">
        <f t="shared" si="157"/>
        <v>-721960803.07295203</v>
      </c>
      <c r="BD96" s="19">
        <f t="shared" si="158"/>
        <v>-698016910.89717495</v>
      </c>
      <c r="BE96" s="19">
        <f t="shared" si="159"/>
        <v>-674025502.72416615</v>
      </c>
      <c r="BF96" s="19">
        <f t="shared" si="160"/>
        <v>-649987361.01828861</v>
      </c>
      <c r="BG96" s="19">
        <f t="shared" si="161"/>
        <v>-625903780.2571981</v>
      </c>
      <c r="BH96" s="19">
        <f t="shared" si="162"/>
        <v>-601776552.74523699</v>
      </c>
      <c r="BI96" s="19">
        <f t="shared" si="163"/>
        <v>-577607948.97310734</v>
      </c>
      <c r="BJ96" s="19">
        <f t="shared" si="164"/>
        <v>-553400692.73915815</v>
      </c>
      <c r="BK96" s="19">
        <f t="shared" si="165"/>
        <v>-529157931.30498463</v>
      </c>
      <c r="BL96" s="19">
        <f t="shared" si="166"/>
        <v>-504883200.9124018</v>
      </c>
      <c r="BM96" s="19">
        <f t="shared" si="167"/>
        <v>-480580388.03963888</v>
      </c>
      <c r="BN96" s="19">
        <f t="shared" si="168"/>
        <v>-456253686.82124019</v>
      </c>
      <c r="BO96" s="19">
        <f t="shared" si="169"/>
        <v>-431907553.09814656</v>
      </c>
      <c r="BP96" s="19">
        <f t="shared" si="170"/>
        <v>-407546655.60130984</v>
      </c>
      <c r="BQ96" s="19">
        <f t="shared" si="171"/>
        <v>-383175824.80356562</v>
      </c>
      <c r="BR96" s="17">
        <f t="shared" si="172"/>
        <v>-358800000</v>
      </c>
      <c r="BT96" s="33"/>
      <c r="BU96" s="21">
        <v>2.6666666666666668E-2</v>
      </c>
      <c r="BV96" s="17">
        <f t="shared" si="173"/>
        <v>0.40647234346137129</v>
      </c>
      <c r="BW96" s="19">
        <f t="shared" si="174"/>
        <v>0.40647234346137129</v>
      </c>
      <c r="BX96" s="19">
        <f t="shared" si="175"/>
        <v>0.40647234346137129</v>
      </c>
      <c r="BY96" s="19">
        <f t="shared" si="176"/>
        <v>0.40647234346137129</v>
      </c>
      <c r="BZ96" s="19">
        <f t="shared" si="177"/>
        <v>0.40647234346137129</v>
      </c>
      <c r="CA96" s="19">
        <f t="shared" si="178"/>
        <v>0.40647234346137129</v>
      </c>
      <c r="CB96" s="19">
        <f t="shared" si="179"/>
        <v>0.40647234346137129</v>
      </c>
      <c r="CC96" s="19">
        <f t="shared" si="180"/>
        <v>0.40647234346137129</v>
      </c>
      <c r="CD96" s="19">
        <f t="shared" si="181"/>
        <v>0.40647234346137129</v>
      </c>
      <c r="CE96" s="19">
        <f t="shared" si="182"/>
        <v>0.40647234346137129</v>
      </c>
      <c r="CF96" s="19">
        <f t="shared" si="183"/>
        <v>0.40647234346137129</v>
      </c>
      <c r="CG96" s="19">
        <f t="shared" si="184"/>
        <v>0.40647234346137129</v>
      </c>
      <c r="CH96" s="19">
        <f t="shared" si="185"/>
        <v>0.40647234346137129</v>
      </c>
      <c r="CI96" s="19">
        <f t="shared" si="186"/>
        <v>0.40647234346137129</v>
      </c>
      <c r="CJ96" s="19">
        <f t="shared" si="187"/>
        <v>0.40647234346137129</v>
      </c>
      <c r="CK96" s="19">
        <f t="shared" si="188"/>
        <v>0.40647234346137129</v>
      </c>
      <c r="CL96" s="19">
        <f t="shared" si="189"/>
        <v>0.40647234346137129</v>
      </c>
      <c r="CM96" s="19">
        <f t="shared" si="190"/>
        <v>0.40647234346137129</v>
      </c>
      <c r="CN96" s="19">
        <f t="shared" si="191"/>
        <v>0.40647234346137129</v>
      </c>
      <c r="CO96" s="19">
        <f t="shared" si="192"/>
        <v>0.40647234346137129</v>
      </c>
      <c r="CP96" s="19">
        <f t="shared" si="193"/>
        <v>0.40647234346137129</v>
      </c>
      <c r="CQ96" s="19">
        <f t="shared" si="194"/>
        <v>0.40647234346137129</v>
      </c>
      <c r="CR96" s="19">
        <f t="shared" si="195"/>
        <v>0.40647234346137129</v>
      </c>
      <c r="CS96" s="19">
        <f t="shared" si="196"/>
        <v>0.40647234346137129</v>
      </c>
      <c r="CT96" s="19">
        <f t="shared" si="197"/>
        <v>0.40647234346137129</v>
      </c>
      <c r="CU96" s="19">
        <f t="shared" si="198"/>
        <v>0.40647234346137129</v>
      </c>
      <c r="CV96" s="19">
        <f t="shared" si="199"/>
        <v>0.40647234346137129</v>
      </c>
      <c r="CW96" s="19">
        <f t="shared" si="200"/>
        <v>0.40647234346137129</v>
      </c>
      <c r="CX96" s="19">
        <f t="shared" si="201"/>
        <v>0.40647234346137129</v>
      </c>
      <c r="CY96" s="19">
        <f t="shared" si="202"/>
        <v>0.40647234346137129</v>
      </c>
      <c r="CZ96" s="17">
        <f t="shared" si="203"/>
        <v>0.40647234346137129</v>
      </c>
      <c r="DB96" s="33"/>
      <c r="DC96" s="21">
        <v>2.6666666666666668E-2</v>
      </c>
      <c r="DD96" s="17">
        <f t="shared" si="204"/>
        <v>178.05829696158864</v>
      </c>
      <c r="DE96" s="19">
        <f t="shared" si="205"/>
        <v>174.17683891007965</v>
      </c>
      <c r="DF96" s="19">
        <f t="shared" si="206"/>
        <v>170.29455481965789</v>
      </c>
      <c r="DG96" s="19">
        <f t="shared" si="207"/>
        <v>166.4106277024313</v>
      </c>
      <c r="DH96" s="19">
        <f t="shared" si="208"/>
        <v>162.52425857335075</v>
      </c>
      <c r="DI96" s="19">
        <f t="shared" si="209"/>
        <v>158.63467520472412</v>
      </c>
      <c r="DJ96" s="19">
        <f t="shared" si="210"/>
        <v>154.74114058747628</v>
      </c>
      <c r="DK96" s="19">
        <f t="shared" si="211"/>
        <v>150.84296100642746</v>
      </c>
      <c r="DL96" s="19">
        <f t="shared" si="212"/>
        <v>146.93949364109471</v>
      </c>
      <c r="DM96" s="19">
        <f t="shared" si="213"/>
        <v>143.03015360872786</v>
      </c>
      <c r="DN96" s="19">
        <f t="shared" si="214"/>
        <v>139.1144203724071</v>
      </c>
      <c r="DO96" s="19">
        <f t="shared" si="215"/>
        <v>135.19184344399466</v>
      </c>
      <c r="DP96" s="19">
        <f t="shared" si="216"/>
        <v>131.26204731946373</v>
      </c>
      <c r="DQ96" s="19">
        <f t="shared" si="217"/>
        <v>127.32473559254699</v>
      </c>
      <c r="DR96" s="19">
        <f t="shared" si="218"/>
        <v>123.37969420165376</v>
      </c>
      <c r="DS96" s="19">
        <f t="shared" si="219"/>
        <v>119.42679377450666</v>
      </c>
      <c r="DT96" s="19">
        <f t="shared" si="220"/>
        <v>115.46599104483973</v>
      </c>
      <c r="DU96" s="19">
        <f t="shared" si="221"/>
        <v>111.497329325667</v>
      </c>
      <c r="DV96" s="19">
        <f t="shared" si="222"/>
        <v>107.52093803397072</v>
      </c>
      <c r="DW96" s="19">
        <f t="shared" si="223"/>
        <v>103.53703127204969</v>
      </c>
      <c r="DX96" s="19">
        <f t="shared" si="224"/>
        <v>99.545905481103176</v>
      </c>
      <c r="DY96" s="19">
        <f t="shared" si="225"/>
        <v>95.547936192787077</v>
      </c>
      <c r="DZ96" s="19">
        <f t="shared" si="226"/>
        <v>91.54357391435812</v>
      </c>
      <c r="EA96" s="19">
        <f t="shared" si="227"/>
        <v>87.533339192509089</v>
      </c>
      <c r="EB96" s="19">
        <f t="shared" si="228"/>
        <v>83.517816909990231</v>
      </c>
      <c r="EC96" s="19">
        <f t="shared" si="229"/>
        <v>79.497649877511421</v>
      </c>
      <c r="ED96" s="19">
        <f t="shared" si="230"/>
        <v>75.47353179113361</v>
      </c>
      <c r="EE96" s="19">
        <f t="shared" si="231"/>
        <v>71.446199632302694</v>
      </c>
      <c r="EF96" s="19">
        <f t="shared" si="232"/>
        <v>67.416425593778868</v>
      </c>
      <c r="EG96" s="19">
        <f t="shared" si="233"/>
        <v>63.385008619903211</v>
      </c>
      <c r="EH96" s="17">
        <f t="shared" si="234"/>
        <v>59.352765653862882</v>
      </c>
    </row>
    <row r="97" spans="5:138" x14ac:dyDescent="0.25">
      <c r="E97" s="35"/>
      <c r="F97" s="21">
        <v>2.3333333333333334E-2</v>
      </c>
      <c r="G97" s="30">
        <f t="shared" si="139"/>
        <v>300</v>
      </c>
      <c r="H97" s="31">
        <f t="shared" si="235"/>
        <v>293.46035171470351</v>
      </c>
      <c r="I97" s="31">
        <f t="shared" si="236"/>
        <v>286.91931175995614</v>
      </c>
      <c r="J97" s="31">
        <f t="shared" si="237"/>
        <v>280.37550371501737</v>
      </c>
      <c r="K97" s="31">
        <f t="shared" si="238"/>
        <v>273.82758148944316</v>
      </c>
      <c r="L97" s="31">
        <f t="shared" si="239"/>
        <v>267.27424407225635</v>
      </c>
      <c r="M97" s="31">
        <f t="shared" si="240"/>
        <v>260.71424978705795</v>
      </c>
      <c r="N97" s="31">
        <f t="shared" si="241"/>
        <v>254.14642989685564</v>
      </c>
      <c r="O97" s="31">
        <f t="shared" si="242"/>
        <v>247.56970140951762</v>
      </c>
      <c r="P97" s="31">
        <f t="shared" si="243"/>
        <v>240.98307894353056</v>
      </c>
      <c r="Q97" s="31">
        <f t="shared" si="244"/>
        <v>234.38568552404521</v>
      </c>
      <c r="R97" s="31">
        <f t="shared" si="245"/>
        <v>227.77676219092774</v>
      </c>
      <c r="S97" s="31">
        <f t="shared" si="246"/>
        <v>221.15567631355788</v>
      </c>
      <c r="T97" s="31">
        <f t="shared" si="247"/>
        <v>214.5219285213015</v>
      </c>
      <c r="U97" s="31">
        <f t="shared" si="248"/>
        <v>207.87515817375669</v>
      </c>
      <c r="V97" s="31">
        <f t="shared" si="249"/>
        <v>201.21514731088303</v>
      </c>
      <c r="W97" s="31">
        <f t="shared" si="250"/>
        <v>194.54182303978553</v>
      </c>
      <c r="X97" s="31">
        <f t="shared" si="251"/>
        <v>187.85525833205566</v>
      </c>
      <c r="Y97" s="31">
        <f t="shared" si="252"/>
        <v>181.15567122299095</v>
      </c>
      <c r="Z97" s="31">
        <f t="shared" si="253"/>
        <v>174.44342242152192</v>
      </c>
      <c r="AA97" s="31">
        <f t="shared" si="254"/>
        <v>167.71901135708777</v>
      </c>
      <c r="AB97" s="31">
        <f t="shared" si="255"/>
        <v>160.98307070682006</v>
      </c>
      <c r="AC97" s="31">
        <f t="shared" si="256"/>
        <v>154.23635946303793</v>
      </c>
      <c r="AD97" s="31">
        <f t="shared" si="257"/>
        <v>147.47975461704249</v>
      </c>
      <c r="AE97" s="31">
        <f t="shared" si="258"/>
        <v>140.71424155034725</v>
      </c>
      <c r="AF97" s="31">
        <f t="shared" si="259"/>
        <v>133.9409032386319</v>
      </c>
      <c r="AG97" s="31">
        <f t="shared" si="260"/>
        <v>127.16090838670377</v>
      </c>
      <c r="AH97" s="31">
        <f t="shared" si="261"/>
        <v>120.37549862445022</v>
      </c>
      <c r="AI97" s="31">
        <f t="shared" si="262"/>
        <v>113.58597490404337</v>
      </c>
      <c r="AJ97" s="31">
        <f t="shared" si="263"/>
        <v>106.79368324739885</v>
      </c>
      <c r="AK97" s="30">
        <f t="shared" si="141"/>
        <v>100</v>
      </c>
      <c r="AL97" s="36"/>
      <c r="AM97" s="21">
        <v>2.3333333333333334E-2</v>
      </c>
      <c r="AN97" s="17">
        <f t="shared" si="142"/>
        <v>-1076400000</v>
      </c>
      <c r="AO97" s="19">
        <f t="shared" si="143"/>
        <v>-1052935727.8167125</v>
      </c>
      <c r="AP97" s="19">
        <f t="shared" si="144"/>
        <v>-1029466462.4783596</v>
      </c>
      <c r="AQ97" s="19">
        <f t="shared" si="145"/>
        <v>-1005987265.5405496</v>
      </c>
      <c r="AR97" s="19">
        <f t="shared" si="146"/>
        <v>-982493307.38061333</v>
      </c>
      <c r="AS97" s="19">
        <f t="shared" si="147"/>
        <v>-958979920.11598456</v>
      </c>
      <c r="AT97" s="19">
        <f t="shared" si="148"/>
        <v>-935442648.74995148</v>
      </c>
      <c r="AU97" s="19">
        <f t="shared" si="149"/>
        <v>-911877299.98426509</v>
      </c>
      <c r="AV97" s="19">
        <f t="shared" si="150"/>
        <v>-888279988.16368127</v>
      </c>
      <c r="AW97" s="19">
        <f t="shared" si="151"/>
        <v>-864647177.84898031</v>
      </c>
      <c r="AX97" s="19">
        <f t="shared" si="152"/>
        <v>-840975722.55197656</v>
      </c>
      <c r="AY97" s="19">
        <f t="shared" si="153"/>
        <v>-817262899.20813787</v>
      </c>
      <c r="AZ97" s="19">
        <f t="shared" si="154"/>
        <v>-793506438.00915766</v>
      </c>
      <c r="BA97" s="19">
        <f t="shared" si="155"/>
        <v>-769704547.26872134</v>
      </c>
      <c r="BB97" s="19">
        <f t="shared" si="156"/>
        <v>-745855933.04914129</v>
      </c>
      <c r="BC97" s="19">
        <f t="shared" si="157"/>
        <v>-721959813.33398509</v>
      </c>
      <c r="BD97" s="19">
        <f t="shared" si="158"/>
        <v>-698015926.59159267</v>
      </c>
      <c r="BE97" s="19">
        <f t="shared" si="159"/>
        <v>-674024534.63584995</v>
      </c>
      <c r="BF97" s="19">
        <f t="shared" si="160"/>
        <v>-649986419.75308049</v>
      </c>
      <c r="BG97" s="19">
        <f t="shared" si="161"/>
        <v>-625902876.12673306</v>
      </c>
      <c r="BH97" s="19">
        <f t="shared" si="162"/>
        <v>-601775695.65401244</v>
      </c>
      <c r="BI97" s="19">
        <f t="shared" si="163"/>
        <v>-577607148.31002641</v>
      </c>
      <c r="BJ97" s="19">
        <f t="shared" si="164"/>
        <v>-553399957.27473176</v>
      </c>
      <c r="BK97" s="19">
        <f t="shared" si="165"/>
        <v>-529157269.0953151</v>
      </c>
      <c r="BL97" s="19">
        <f t="shared" si="166"/>
        <v>-504882619.21099675</v>
      </c>
      <c r="BM97" s="19">
        <f t="shared" si="167"/>
        <v>-480579893.21801919</v>
      </c>
      <c r="BN97" s="19">
        <f t="shared" si="168"/>
        <v>-456253284.29920775</v>
      </c>
      <c r="BO97" s="19">
        <f t="shared" si="169"/>
        <v>-431907247.28447181</v>
      </c>
      <c r="BP97" s="19">
        <f t="shared" si="170"/>
        <v>-407546449.84548753</v>
      </c>
      <c r="BQ97" s="19">
        <f t="shared" si="171"/>
        <v>-383175721.35916334</v>
      </c>
      <c r="BR97" s="17">
        <f t="shared" si="172"/>
        <v>-358800000</v>
      </c>
      <c r="BT97" s="33"/>
      <c r="BU97" s="21">
        <v>2.3333333333333334E-2</v>
      </c>
      <c r="BV97" s="17">
        <f t="shared" si="173"/>
        <v>0.40647468537622489</v>
      </c>
      <c r="BW97" s="19">
        <f t="shared" si="174"/>
        <v>0.40647468537622489</v>
      </c>
      <c r="BX97" s="19">
        <f t="shared" si="175"/>
        <v>0.40647468537622489</v>
      </c>
      <c r="BY97" s="19">
        <f t="shared" si="176"/>
        <v>0.40647468537622489</v>
      </c>
      <c r="BZ97" s="19">
        <f t="shared" si="177"/>
        <v>0.40647468537622489</v>
      </c>
      <c r="CA97" s="19">
        <f t="shared" si="178"/>
        <v>0.40647468537622489</v>
      </c>
      <c r="CB97" s="19">
        <f t="shared" si="179"/>
        <v>0.40647468537622489</v>
      </c>
      <c r="CC97" s="19">
        <f t="shared" si="180"/>
        <v>0.40647468537622489</v>
      </c>
      <c r="CD97" s="19">
        <f t="shared" si="181"/>
        <v>0.40647468537622489</v>
      </c>
      <c r="CE97" s="19">
        <f t="shared" si="182"/>
        <v>0.40647468537622489</v>
      </c>
      <c r="CF97" s="19">
        <f t="shared" si="183"/>
        <v>0.40647468537622489</v>
      </c>
      <c r="CG97" s="19">
        <f t="shared" si="184"/>
        <v>0.40647468537622489</v>
      </c>
      <c r="CH97" s="19">
        <f t="shared" si="185"/>
        <v>0.40647468537622489</v>
      </c>
      <c r="CI97" s="19">
        <f t="shared" si="186"/>
        <v>0.40647468537622489</v>
      </c>
      <c r="CJ97" s="19">
        <f t="shared" si="187"/>
        <v>0.40647468537622489</v>
      </c>
      <c r="CK97" s="19">
        <f t="shared" si="188"/>
        <v>0.40647468537622489</v>
      </c>
      <c r="CL97" s="19">
        <f t="shared" si="189"/>
        <v>0.40647468537622489</v>
      </c>
      <c r="CM97" s="19">
        <f t="shared" si="190"/>
        <v>0.40647468537622489</v>
      </c>
      <c r="CN97" s="19">
        <f t="shared" si="191"/>
        <v>0.40647468537622489</v>
      </c>
      <c r="CO97" s="19">
        <f t="shared" si="192"/>
        <v>0.40647468537622489</v>
      </c>
      <c r="CP97" s="19">
        <f t="shared" si="193"/>
        <v>0.40647468537622489</v>
      </c>
      <c r="CQ97" s="19">
        <f t="shared" si="194"/>
        <v>0.40647468537622489</v>
      </c>
      <c r="CR97" s="19">
        <f t="shared" si="195"/>
        <v>0.40647468537622489</v>
      </c>
      <c r="CS97" s="19">
        <f t="shared" si="196"/>
        <v>0.40647468537622489</v>
      </c>
      <c r="CT97" s="19">
        <f t="shared" si="197"/>
        <v>0.40647468537622489</v>
      </c>
      <c r="CU97" s="19">
        <f t="shared" si="198"/>
        <v>0.40647468537622489</v>
      </c>
      <c r="CV97" s="19">
        <f t="shared" si="199"/>
        <v>0.40647468537622489</v>
      </c>
      <c r="CW97" s="19">
        <f t="shared" si="200"/>
        <v>0.40647468537622489</v>
      </c>
      <c r="CX97" s="19">
        <f t="shared" si="201"/>
        <v>0.40647468537622489</v>
      </c>
      <c r="CY97" s="19">
        <f t="shared" si="202"/>
        <v>0.40647468537622489</v>
      </c>
      <c r="CZ97" s="17">
        <f t="shared" si="203"/>
        <v>0.40647468537622489</v>
      </c>
      <c r="DB97" s="33"/>
      <c r="DC97" s="21">
        <v>2.3333333333333334E-2</v>
      </c>
      <c r="DD97" s="17">
        <f t="shared" si="204"/>
        <v>178.05759438713258</v>
      </c>
      <c r="DE97" s="19">
        <f t="shared" si="205"/>
        <v>174.17613601597017</v>
      </c>
      <c r="DF97" s="19">
        <f t="shared" si="206"/>
        <v>170.29385178051081</v>
      </c>
      <c r="DG97" s="19">
        <f t="shared" si="207"/>
        <v>166.40992486556269</v>
      </c>
      <c r="DH97" s="19">
        <f t="shared" si="208"/>
        <v>162.52355645496681</v>
      </c>
      <c r="DI97" s="19">
        <f t="shared" si="209"/>
        <v>158.63397448425849</v>
      </c>
      <c r="DJ97" s="19">
        <f t="shared" si="210"/>
        <v>154.74044210013705</v>
      </c>
      <c r="DK97" s="19">
        <f t="shared" si="211"/>
        <v>150.84226573403606</v>
      </c>
      <c r="DL97" s="19">
        <f t="shared" si="212"/>
        <v>146.93880270131766</v>
      </c>
      <c r="DM97" s="19">
        <f t="shared" si="213"/>
        <v>143.02946824281932</v>
      </c>
      <c r="DN97" s="19">
        <f t="shared" si="214"/>
        <v>139.11374193159759</v>
      </c>
      <c r="DO97" s="19">
        <f t="shared" si="215"/>
        <v>135.19117337467537</v>
      </c>
      <c r="DP97" s="19">
        <f t="shared" si="216"/>
        <v>131.26138714732906</v>
      </c>
      <c r="DQ97" s="19">
        <f t="shared" si="217"/>
        <v>127.32408690586998</v>
      </c>
      <c r="DR97" s="19">
        <f t="shared" si="218"/>
        <v>123.37905863387742</v>
      </c>
      <c r="DS97" s="19">
        <f t="shared" si="219"/>
        <v>119.42617298634293</v>
      </c>
      <c r="DT97" s="19">
        <f t="shared" si="220"/>
        <v>115.46538670607177</v>
      </c>
      <c r="DU97" s="19">
        <f t="shared" si="221"/>
        <v>111.49674309685477</v>
      </c>
      <c r="DV97" s="19">
        <f t="shared" si="222"/>
        <v>107.52037154826002</v>
      </c>
      <c r="DW97" s="19">
        <f t="shared" si="223"/>
        <v>103.53648611728389</v>
      </c>
      <c r="DX97" s="19">
        <f t="shared" si="224"/>
        <v>99.54538318243354</v>
      </c>
      <c r="DY97" s="19">
        <f t="shared" si="225"/>
        <v>95.547438195971765</v>
      </c>
      <c r="DZ97" s="19">
        <f t="shared" si="226"/>
        <v>91.54310156993256</v>
      </c>
      <c r="EA97" s="19">
        <f t="shared" si="227"/>
        <v>87.532893741000578</v>
      </c>
      <c r="EB97" s="19">
        <f t="shared" si="228"/>
        <v>83.517399468338354</v>
      </c>
      <c r="EC97" s="19">
        <f t="shared" si="229"/>
        <v>79.497261426842556</v>
      </c>
      <c r="ED97" s="19">
        <f t="shared" si="230"/>
        <v>75.473173166022875</v>
      </c>
      <c r="EE97" s="19">
        <f t="shared" si="231"/>
        <v>71.44587151164049</v>
      </c>
      <c r="EF97" s="19">
        <f t="shared" si="232"/>
        <v>67.416128493341773</v>
      </c>
      <c r="EG97" s="19">
        <f t="shared" si="233"/>
        <v>63.38474288671005</v>
      </c>
      <c r="EH97" s="17">
        <f t="shared" si="234"/>
        <v>59.35253146237752</v>
      </c>
    </row>
    <row r="98" spans="5:138" x14ac:dyDescent="0.25">
      <c r="E98" s="35"/>
      <c r="F98" s="21">
        <v>0.02</v>
      </c>
      <c r="G98" s="30">
        <f t="shared" si="139"/>
        <v>300</v>
      </c>
      <c r="H98" s="31">
        <f t="shared" si="235"/>
        <v>293.46032667690054</v>
      </c>
      <c r="I98" s="31">
        <f t="shared" si="236"/>
        <v>286.91926195876067</v>
      </c>
      <c r="J98" s="31">
        <f t="shared" si="237"/>
        <v>280.37542969623991</v>
      </c>
      <c r="K98" s="31">
        <f t="shared" si="238"/>
        <v>273.8274840643063</v>
      </c>
      <c r="L98" s="31">
        <f t="shared" si="239"/>
        <v>267.27412430849574</v>
      </c>
      <c r="M98" s="31">
        <f t="shared" si="240"/>
        <v>260.71410899720979</v>
      </c>
      <c r="N98" s="31">
        <f t="shared" si="241"/>
        <v>254.14626962385952</v>
      </c>
      <c r="O98" s="31">
        <f t="shared" si="242"/>
        <v>247.56952340979359</v>
      </c>
      <c r="P98" s="31">
        <f t="shared" si="243"/>
        <v>240.98288516771646</v>
      </c>
      <c r="Q98" s="31">
        <f t="shared" si="244"/>
        <v>234.38547809560598</v>
      </c>
      <c r="R98" s="31">
        <f t="shared" si="245"/>
        <v>227.77654338287201</v>
      </c>
      <c r="S98" s="31">
        <f t="shared" si="246"/>
        <v>221.15544852351803</v>
      </c>
      <c r="T98" s="31">
        <f t="shared" si="247"/>
        <v>214.52169424525027</v>
      </c>
      <c r="U98" s="31">
        <f t="shared" si="248"/>
        <v>207.8749199786497</v>
      </c>
      <c r="V98" s="31">
        <f t="shared" si="249"/>
        <v>201.21490780652675</v>
      </c>
      <c r="W98" s="31">
        <f t="shared" si="250"/>
        <v>194.54158485023987</v>
      </c>
      <c r="X98" s="31">
        <f t="shared" si="251"/>
        <v>187.85502406688403</v>
      </c>
      <c r="Y98" s="31">
        <f t="shared" si="252"/>
        <v>181.15544344867342</v>
      </c>
      <c r="Z98" s="31">
        <f t="shared" si="253"/>
        <v>174.44320363334413</v>
      </c>
      <c r="AA98" s="31">
        <f t="shared" si="254"/>
        <v>167.71880395181336</v>
      </c>
      <c r="AB98" s="31">
        <f t="shared" si="255"/>
        <v>160.98287695644524</v>
      </c>
      <c r="AC98" s="31">
        <f t="shared" si="256"/>
        <v>154.23618148991582</v>
      </c>
      <c r="AD98" s="31">
        <f t="shared" si="257"/>
        <v>147.4795943706483</v>
      </c>
      <c r="AE98" s="31">
        <f t="shared" si="258"/>
        <v>140.7141007859384</v>
      </c>
      <c r="AF98" s="31">
        <f t="shared" si="259"/>
        <v>133.94078349803618</v>
      </c>
      <c r="AG98" s="31">
        <f t="shared" si="260"/>
        <v>127.16081098144488</v>
      </c>
      <c r="AH98" s="31">
        <f t="shared" si="261"/>
        <v>120.37542462139506</v>
      </c>
      <c r="AI98" s="31">
        <f t="shared" si="262"/>
        <v>113.58592511372748</v>
      </c>
      <c r="AJ98" s="31">
        <f t="shared" si="263"/>
        <v>106.79365821515719</v>
      </c>
      <c r="AK98" s="30">
        <f t="shared" si="141"/>
        <v>100</v>
      </c>
      <c r="AL98" s="36"/>
      <c r="AM98" s="21">
        <v>0.02</v>
      </c>
      <c r="AN98" s="17">
        <f t="shared" si="142"/>
        <v>-1076400000</v>
      </c>
      <c r="AO98" s="19">
        <f t="shared" si="143"/>
        <v>-1052935636.7659414</v>
      </c>
      <c r="AP98" s="19">
        <f t="shared" si="144"/>
        <v>-1029466281.3747203</v>
      </c>
      <c r="AQ98" s="19">
        <f t="shared" si="145"/>
        <v>-1005986996.3688992</v>
      </c>
      <c r="AR98" s="19">
        <f t="shared" si="146"/>
        <v>-982492953.09098887</v>
      </c>
      <c r="AS98" s="19">
        <f t="shared" si="147"/>
        <v>-958979484.59124088</v>
      </c>
      <c r="AT98" s="19">
        <f t="shared" si="148"/>
        <v>-935442136.76316822</v>
      </c>
      <c r="AU98" s="19">
        <f t="shared" si="149"/>
        <v>-911876717.14639127</v>
      </c>
      <c r="AV98" s="19">
        <f t="shared" si="150"/>
        <v>-888279340.86199486</v>
      </c>
      <c r="AW98" s="19">
        <f t="shared" si="151"/>
        <v>-864646473.17703795</v>
      </c>
      <c r="AX98" s="19">
        <f t="shared" si="152"/>
        <v>-840974968.23182631</v>
      </c>
      <c r="AY98" s="19">
        <f t="shared" si="153"/>
        <v>-817262103.50564837</v>
      </c>
      <c r="AZ98" s="19">
        <f t="shared" si="154"/>
        <v>-793505609.6433959</v>
      </c>
      <c r="BA98" s="19">
        <f t="shared" si="155"/>
        <v>-769703695.31637192</v>
      </c>
      <c r="BB98" s="19">
        <f t="shared" si="156"/>
        <v>-745855066.84502017</v>
      </c>
      <c r="BC98" s="19">
        <f t="shared" si="157"/>
        <v>-721958942.36873722</v>
      </c>
      <c r="BD98" s="19">
        <f t="shared" si="158"/>
        <v>-698015060.40769541</v>
      </c>
      <c r="BE98" s="19">
        <f t="shared" si="159"/>
        <v>-674023682.7230643</v>
      </c>
      <c r="BF98" s="19">
        <f t="shared" si="160"/>
        <v>-649985591.44449329</v>
      </c>
      <c r="BG98" s="19">
        <f t="shared" si="161"/>
        <v>-625902080.49653018</v>
      </c>
      <c r="BH98" s="19">
        <f t="shared" si="162"/>
        <v>-601774941.41810143</v>
      </c>
      <c r="BI98" s="19">
        <f t="shared" si="163"/>
        <v>-577606443.73059428</v>
      </c>
      <c r="BJ98" s="19">
        <f t="shared" si="164"/>
        <v>-553399310.06978369</v>
      </c>
      <c r="BK98" s="19">
        <f t="shared" si="165"/>
        <v>-529156686.35417974</v>
      </c>
      <c r="BL98" s="19">
        <f t="shared" si="166"/>
        <v>-504882107.31672382</v>
      </c>
      <c r="BM98" s="19">
        <f t="shared" si="167"/>
        <v>-480579457.77751487</v>
      </c>
      <c r="BN98" s="19">
        <f t="shared" si="168"/>
        <v>-456252930.08186978</v>
      </c>
      <c r="BO98" s="19">
        <f t="shared" si="169"/>
        <v>-431906978.1699959</v>
      </c>
      <c r="BP98" s="19">
        <f t="shared" si="170"/>
        <v>-407546268.78141201</v>
      </c>
      <c r="BQ98" s="19">
        <f t="shared" si="171"/>
        <v>-383175630.32861632</v>
      </c>
      <c r="BR98" s="17">
        <f t="shared" si="172"/>
        <v>-358800000</v>
      </c>
      <c r="BT98" s="33"/>
      <c r="BU98" s="21">
        <v>0.02</v>
      </c>
      <c r="BV98" s="17">
        <f t="shared" si="173"/>
        <v>0.40648885983862293</v>
      </c>
      <c r="BW98" s="19">
        <f t="shared" si="174"/>
        <v>0.40648885983862293</v>
      </c>
      <c r="BX98" s="19">
        <f t="shared" si="175"/>
        <v>0.40648885983862293</v>
      </c>
      <c r="BY98" s="19">
        <f t="shared" si="176"/>
        <v>0.40648885983862293</v>
      </c>
      <c r="BZ98" s="19">
        <f t="shared" si="177"/>
        <v>0.40648885983862293</v>
      </c>
      <c r="CA98" s="19">
        <f t="shared" si="178"/>
        <v>0.40648885983862293</v>
      </c>
      <c r="CB98" s="19">
        <f t="shared" si="179"/>
        <v>0.40648885983862293</v>
      </c>
      <c r="CC98" s="19">
        <f t="shared" si="180"/>
        <v>0.40648885983862293</v>
      </c>
      <c r="CD98" s="19">
        <f t="shared" si="181"/>
        <v>0.40648885983862293</v>
      </c>
      <c r="CE98" s="19">
        <f t="shared" si="182"/>
        <v>0.40648885983862293</v>
      </c>
      <c r="CF98" s="19">
        <f t="shared" si="183"/>
        <v>0.40648885983862293</v>
      </c>
      <c r="CG98" s="19">
        <f t="shared" si="184"/>
        <v>0.40648885983862293</v>
      </c>
      <c r="CH98" s="19">
        <f t="shared" si="185"/>
        <v>0.40648885983862293</v>
      </c>
      <c r="CI98" s="19">
        <f t="shared" si="186"/>
        <v>0.40648885983862293</v>
      </c>
      <c r="CJ98" s="19">
        <f t="shared" si="187"/>
        <v>0.40648885983862293</v>
      </c>
      <c r="CK98" s="19">
        <f t="shared" si="188"/>
        <v>0.40648885983862293</v>
      </c>
      <c r="CL98" s="19">
        <f t="shared" si="189"/>
        <v>0.40648885983862293</v>
      </c>
      <c r="CM98" s="19">
        <f t="shared" si="190"/>
        <v>0.40648885983862293</v>
      </c>
      <c r="CN98" s="19">
        <f t="shared" si="191"/>
        <v>0.40648885983862293</v>
      </c>
      <c r="CO98" s="19">
        <f t="shared" si="192"/>
        <v>0.40648885983862293</v>
      </c>
      <c r="CP98" s="19">
        <f t="shared" si="193"/>
        <v>0.40648885983862293</v>
      </c>
      <c r="CQ98" s="19">
        <f t="shared" si="194"/>
        <v>0.40648885983862293</v>
      </c>
      <c r="CR98" s="19">
        <f t="shared" si="195"/>
        <v>0.40648885983862293</v>
      </c>
      <c r="CS98" s="19">
        <f t="shared" si="196"/>
        <v>0.40648885983862293</v>
      </c>
      <c r="CT98" s="19">
        <f t="shared" si="197"/>
        <v>0.40648885983862293</v>
      </c>
      <c r="CU98" s="19">
        <f t="shared" si="198"/>
        <v>0.40648885983862293</v>
      </c>
      <c r="CV98" s="19">
        <f t="shared" si="199"/>
        <v>0.40648885983862293</v>
      </c>
      <c r="CW98" s="19">
        <f t="shared" si="200"/>
        <v>0.40648885983862293</v>
      </c>
      <c r="CX98" s="19">
        <f t="shared" si="201"/>
        <v>0.40648885983862293</v>
      </c>
      <c r="CY98" s="19">
        <f t="shared" si="202"/>
        <v>0.40648885983862293</v>
      </c>
      <c r="CZ98" s="17">
        <f t="shared" si="203"/>
        <v>0.40648885983862293</v>
      </c>
      <c r="DB98" s="33"/>
      <c r="DC98" s="21">
        <v>0.02</v>
      </c>
      <c r="DD98" s="17">
        <f t="shared" si="204"/>
        <v>178.05334204841316</v>
      </c>
      <c r="DE98" s="19">
        <f t="shared" si="205"/>
        <v>174.17196290054943</v>
      </c>
      <c r="DF98" s="19">
        <f t="shared" si="206"/>
        <v>170.28975805577369</v>
      </c>
      <c r="DG98" s="19">
        <f t="shared" si="207"/>
        <v>166.40591086444289</v>
      </c>
      <c r="DH98" s="19">
        <f t="shared" si="208"/>
        <v>162.51962267229496</v>
      </c>
      <c r="DI98" s="19">
        <f t="shared" si="209"/>
        <v>158.63012157133446</v>
      </c>
      <c r="DJ98" s="19">
        <f t="shared" si="210"/>
        <v>154.73667085758666</v>
      </c>
      <c r="DK98" s="19">
        <f t="shared" si="211"/>
        <v>150.83857710303016</v>
      </c>
      <c r="DL98" s="19">
        <f t="shared" si="212"/>
        <v>146.93519775325046</v>
      </c>
      <c r="DM98" s="19">
        <f t="shared" si="213"/>
        <v>143.02594816755987</v>
      </c>
      <c r="DN98" s="19">
        <f t="shared" si="214"/>
        <v>139.11030802444282</v>
      </c>
      <c r="DO98" s="19">
        <f t="shared" si="215"/>
        <v>135.18782702214864</v>
      </c>
      <c r="DP98" s="19">
        <f t="shared" si="216"/>
        <v>131.25812981198033</v>
      </c>
      <c r="DQ98" s="19">
        <f t="shared" si="217"/>
        <v>127.32092011024388</v>
      </c>
      <c r="DR98" s="19">
        <f t="shared" si="218"/>
        <v>123.37598394382594</v>
      </c>
      <c r="DS98" s="19">
        <f t="shared" si="219"/>
        <v>119.42319199386537</v>
      </c>
      <c r="DT98" s="19">
        <f t="shared" si="220"/>
        <v>115.46250101187029</v>
      </c>
      <c r="DU98" s="19">
        <f t="shared" si="221"/>
        <v>111.49395429279674</v>
      </c>
      <c r="DV98" s="19">
        <f t="shared" si="222"/>
        <v>107.5176811999394</v>
      </c>
      <c r="DW98" s="19">
        <f t="shared" si="223"/>
        <v>103.53389574687243</v>
      </c>
      <c r="DX98" s="19">
        <f t="shared" si="224"/>
        <v>99.542894252009702</v>
      </c>
      <c r="DY98" s="19">
        <f t="shared" si="225"/>
        <v>95.545052091509532</v>
      </c>
      <c r="DZ98" s="19">
        <f t="shared" si="226"/>
        <v>91.540819586125536</v>
      </c>
      <c r="EA98" s="19">
        <f t="shared" si="227"/>
        <v>87.530717067086812</v>
      </c>
      <c r="EB98" s="19">
        <f t="shared" si="228"/>
        <v>83.515329175081163</v>
      </c>
      <c r="EC98" s="19">
        <f t="shared" si="229"/>
        <v>79.495298454809372</v>
      </c>
      <c r="ED98" s="19">
        <f t="shared" si="230"/>
        <v>75.471318315290077</v>
      </c>
      <c r="EE98" s="19">
        <f t="shared" si="231"/>
        <v>71.444125433036561</v>
      </c>
      <c r="EF98" s="19">
        <f t="shared" si="232"/>
        <v>67.414491681324449</v>
      </c>
      <c r="EG98" s="19">
        <f t="shared" si="233"/>
        <v>63.383215673954986</v>
      </c>
      <c r="EH98" s="17">
        <f t="shared" si="234"/>
        <v>59.351114016137714</v>
      </c>
    </row>
    <row r="99" spans="5:138" x14ac:dyDescent="0.25">
      <c r="E99" s="35"/>
      <c r="F99" s="21">
        <v>1.6666666666666666E-2</v>
      </c>
      <c r="G99" s="30">
        <f t="shared" si="139"/>
        <v>300</v>
      </c>
      <c r="H99" s="31">
        <f t="shared" si="235"/>
        <v>293.46030534701481</v>
      </c>
      <c r="I99" s="31">
        <f t="shared" si="236"/>
        <v>286.91921953276147</v>
      </c>
      <c r="J99" s="31">
        <f t="shared" si="237"/>
        <v>280.3753666391072</v>
      </c>
      <c r="K99" s="31">
        <f t="shared" si="238"/>
        <v>273.82740106712652</v>
      </c>
      <c r="L99" s="31">
        <f t="shared" si="239"/>
        <v>267.27402228088056</v>
      </c>
      <c r="M99" s="31">
        <f t="shared" si="240"/>
        <v>260.71398905731826</v>
      </c>
      <c r="N99" s="31">
        <f t="shared" si="241"/>
        <v>254.14613308613315</v>
      </c>
      <c r="O99" s="31">
        <f t="shared" si="242"/>
        <v>247.56937177053931</v>
      </c>
      <c r="P99" s="31">
        <f t="shared" si="243"/>
        <v>240.98272008869674</v>
      </c>
      <c r="Q99" s="31">
        <f t="shared" si="244"/>
        <v>234.38530138581598</v>
      </c>
      <c r="R99" s="31">
        <f t="shared" si="245"/>
        <v>227.77635697870426</v>
      </c>
      <c r="S99" s="31">
        <f t="shared" si="246"/>
        <v>221.1552544675329</v>
      </c>
      <c r="T99" s="31">
        <f t="shared" si="247"/>
        <v>214.52149466378512</v>
      </c>
      <c r="U99" s="31">
        <f t="shared" si="248"/>
        <v>207.87471705851249</v>
      </c>
      <c r="V99" s="31">
        <f t="shared" si="249"/>
        <v>201.2147037710306</v>
      </c>
      <c r="W99" s="31">
        <f t="shared" si="250"/>
        <v>194.54138193484033</v>
      </c>
      <c r="X99" s="31">
        <f t="shared" si="251"/>
        <v>187.85482449468716</v>
      </c>
      <c r="Y99" s="31">
        <f t="shared" si="252"/>
        <v>181.15524940608219</v>
      </c>
      <c r="Z99" s="31">
        <f t="shared" si="253"/>
        <v>174.44301724611046</v>
      </c>
      <c r="AA99" s="31">
        <f t="shared" si="254"/>
        <v>167.71862726175749</v>
      </c>
      <c r="AB99" s="31">
        <f t="shared" si="255"/>
        <v>160.9827118990973</v>
      </c>
      <c r="AC99" s="31">
        <f t="shared" si="256"/>
        <v>154.23602987332373</v>
      </c>
      <c r="AD99" s="31">
        <f t="shared" si="257"/>
        <v>147.47945785558414</v>
      </c>
      <c r="AE99" s="31">
        <f t="shared" si="258"/>
        <v>140.71398086771867</v>
      </c>
      <c r="AF99" s="31">
        <f t="shared" si="259"/>
        <v>133.94068149015516</v>
      </c>
      <c r="AG99" s="31">
        <f t="shared" si="260"/>
        <v>127.16072800119912</v>
      </c>
      <c r="AH99" s="31">
        <f t="shared" si="261"/>
        <v>120.37536157765622</v>
      </c>
      <c r="AI99" s="31">
        <f t="shared" si="262"/>
        <v>113.58588269699663</v>
      </c>
      <c r="AJ99" s="31">
        <f t="shared" si="263"/>
        <v>106.79363689000917</v>
      </c>
      <c r="AK99" s="30">
        <f t="shared" si="141"/>
        <v>100</v>
      </c>
      <c r="AL99" s="36"/>
      <c r="AM99" s="21">
        <v>1.6666666666666666E-2</v>
      </c>
      <c r="AN99" s="17">
        <f t="shared" si="142"/>
        <v>-1076400000</v>
      </c>
      <c r="AO99" s="19">
        <f t="shared" si="143"/>
        <v>-1052935559.1991397</v>
      </c>
      <c r="AP99" s="19">
        <f t="shared" si="144"/>
        <v>-1029466127.0912369</v>
      </c>
      <c r="AQ99" s="19">
        <f t="shared" si="145"/>
        <v>-1005986767.0596483</v>
      </c>
      <c r="AR99" s="19">
        <f t="shared" si="146"/>
        <v>-982492651.26912773</v>
      </c>
      <c r="AS99" s="19">
        <f t="shared" si="147"/>
        <v>-958979113.56460154</v>
      </c>
      <c r="AT99" s="19">
        <f t="shared" si="148"/>
        <v>-935441700.5979712</v>
      </c>
      <c r="AU99" s="19">
        <f t="shared" si="149"/>
        <v>-911876220.62264442</v>
      </c>
      <c r="AV99" s="19">
        <f t="shared" si="150"/>
        <v>-888278789.42106569</v>
      </c>
      <c r="AW99" s="19">
        <f t="shared" si="151"/>
        <v>-864645872.86197793</v>
      </c>
      <c r="AX99" s="19">
        <f t="shared" si="152"/>
        <v>-840974325.62110353</v>
      </c>
      <c r="AY99" s="19">
        <f t="shared" si="153"/>
        <v>-817261425.64101529</v>
      </c>
      <c r="AZ99" s="19">
        <f t="shared" si="154"/>
        <v>-793504903.95268762</v>
      </c>
      <c r="BA99" s="19">
        <f t="shared" si="155"/>
        <v>-769702969.53208125</v>
      </c>
      <c r="BB99" s="19">
        <f t="shared" si="156"/>
        <v>-745854328.91954339</v>
      </c>
      <c r="BC99" s="19">
        <f t="shared" si="157"/>
        <v>-721958200.38722229</v>
      </c>
      <c r="BD99" s="19">
        <f t="shared" si="158"/>
        <v>-698014322.49944711</v>
      </c>
      <c r="BE99" s="19">
        <f t="shared" si="159"/>
        <v>-674022956.97247803</v>
      </c>
      <c r="BF99" s="19">
        <f t="shared" si="160"/>
        <v>-649984885.80249226</v>
      </c>
      <c r="BG99" s="19">
        <f t="shared" si="161"/>
        <v>-625901402.69347835</v>
      </c>
      <c r="BH99" s="19">
        <f t="shared" si="162"/>
        <v>-601774298.8791424</v>
      </c>
      <c r="BI99" s="19">
        <f t="shared" si="163"/>
        <v>-577605843.49434423</v>
      </c>
      <c r="BJ99" s="19">
        <f t="shared" si="164"/>
        <v>-553398758.71126604</v>
      </c>
      <c r="BK99" s="19">
        <f t="shared" si="165"/>
        <v>-529156189.91284448</v>
      </c>
      <c r="BL99" s="19">
        <f t="shared" si="166"/>
        <v>-504881671.23033679</v>
      </c>
      <c r="BM99" s="19">
        <f t="shared" si="167"/>
        <v>-480579086.82263917</v>
      </c>
      <c r="BN99" s="19">
        <f t="shared" si="168"/>
        <v>-456252628.32158965</v>
      </c>
      <c r="BO99" s="19">
        <f t="shared" si="169"/>
        <v>-431906748.90945172</v>
      </c>
      <c r="BP99" s="19">
        <f t="shared" si="170"/>
        <v>-407546114.53163284</v>
      </c>
      <c r="BQ99" s="19">
        <f t="shared" si="171"/>
        <v>-383175552.77904302</v>
      </c>
      <c r="BR99" s="17">
        <f t="shared" si="172"/>
        <v>-358800000</v>
      </c>
      <c r="BT99" s="33"/>
      <c r="BU99" s="21">
        <v>1.6666666666666666E-2</v>
      </c>
      <c r="BV99" s="17">
        <f t="shared" si="173"/>
        <v>0.40657464742411625</v>
      </c>
      <c r="BW99" s="19">
        <f t="shared" si="174"/>
        <v>0.40657464742411625</v>
      </c>
      <c r="BX99" s="19">
        <f t="shared" si="175"/>
        <v>0.40657464742411625</v>
      </c>
      <c r="BY99" s="19">
        <f t="shared" si="176"/>
        <v>0.40657464742411625</v>
      </c>
      <c r="BZ99" s="19">
        <f t="shared" si="177"/>
        <v>0.40657464742411625</v>
      </c>
      <c r="CA99" s="19">
        <f t="shared" si="178"/>
        <v>0.40657464742411625</v>
      </c>
      <c r="CB99" s="19">
        <f t="shared" si="179"/>
        <v>0.40657464742411625</v>
      </c>
      <c r="CC99" s="19">
        <f t="shared" si="180"/>
        <v>0.40657464742411625</v>
      </c>
      <c r="CD99" s="19">
        <f t="shared" si="181"/>
        <v>0.40657464742411625</v>
      </c>
      <c r="CE99" s="19">
        <f t="shared" si="182"/>
        <v>0.40657464742411625</v>
      </c>
      <c r="CF99" s="19">
        <f t="shared" si="183"/>
        <v>0.40657464742411625</v>
      </c>
      <c r="CG99" s="19">
        <f t="shared" si="184"/>
        <v>0.40657464742411625</v>
      </c>
      <c r="CH99" s="19">
        <f t="shared" si="185"/>
        <v>0.40657464742411625</v>
      </c>
      <c r="CI99" s="19">
        <f t="shared" si="186"/>
        <v>0.40657464742411625</v>
      </c>
      <c r="CJ99" s="19">
        <f t="shared" si="187"/>
        <v>0.40657464742411625</v>
      </c>
      <c r="CK99" s="19">
        <f t="shared" si="188"/>
        <v>0.40657464742411625</v>
      </c>
      <c r="CL99" s="19">
        <f t="shared" si="189"/>
        <v>0.40657464742411625</v>
      </c>
      <c r="CM99" s="19">
        <f t="shared" si="190"/>
        <v>0.40657464742411625</v>
      </c>
      <c r="CN99" s="19">
        <f t="shared" si="191"/>
        <v>0.40657464742411625</v>
      </c>
      <c r="CO99" s="19">
        <f t="shared" si="192"/>
        <v>0.40657464742411625</v>
      </c>
      <c r="CP99" s="19">
        <f t="shared" si="193"/>
        <v>0.40657464742411625</v>
      </c>
      <c r="CQ99" s="19">
        <f t="shared" si="194"/>
        <v>0.40657464742411625</v>
      </c>
      <c r="CR99" s="19">
        <f t="shared" si="195"/>
        <v>0.40657464742411625</v>
      </c>
      <c r="CS99" s="19">
        <f t="shared" si="196"/>
        <v>0.40657464742411625</v>
      </c>
      <c r="CT99" s="19">
        <f t="shared" si="197"/>
        <v>0.40657464742411625</v>
      </c>
      <c r="CU99" s="19">
        <f t="shared" si="198"/>
        <v>0.40657464742411625</v>
      </c>
      <c r="CV99" s="19">
        <f t="shared" si="199"/>
        <v>0.40657464742411625</v>
      </c>
      <c r="CW99" s="19">
        <f t="shared" si="200"/>
        <v>0.40657464742411625</v>
      </c>
      <c r="CX99" s="19">
        <f t="shared" si="201"/>
        <v>0.40657464742411625</v>
      </c>
      <c r="CY99" s="19">
        <f t="shared" si="202"/>
        <v>0.40657464742411625</v>
      </c>
      <c r="CZ99" s="17">
        <f t="shared" si="203"/>
        <v>0.40657464742411625</v>
      </c>
      <c r="DB99" s="33"/>
      <c r="DC99" s="21">
        <v>1.6666666666666666E-2</v>
      </c>
      <c r="DD99" s="17">
        <f t="shared" si="204"/>
        <v>178.02760577276516</v>
      </c>
      <c r="DE99" s="19">
        <f t="shared" si="205"/>
        <v>174.146776495388</v>
      </c>
      <c r="DF99" s="19">
        <f t="shared" si="206"/>
        <v>170.26512176269071</v>
      </c>
      <c r="DG99" s="19">
        <f t="shared" si="207"/>
        <v>166.38182516397336</v>
      </c>
      <c r="DH99" s="19">
        <f t="shared" si="208"/>
        <v>162.49608827864836</v>
      </c>
      <c r="DI99" s="19">
        <f t="shared" si="209"/>
        <v>158.60713942456448</v>
      </c>
      <c r="DJ99" s="19">
        <f t="shared" si="210"/>
        <v>154.71424211328508</v>
      </c>
      <c r="DK99" s="19">
        <f t="shared" si="211"/>
        <v>150.81670311965806</v>
      </c>
      <c r="DL99" s="19">
        <f t="shared" si="212"/>
        <v>146.91388007724598</v>
      </c>
      <c r="DM99" s="19">
        <f t="shared" si="213"/>
        <v>143.00518851638611</v>
      </c>
      <c r="DN99" s="19">
        <f t="shared" si="214"/>
        <v>139.09010826776205</v>
      </c>
      <c r="DO99" s="19">
        <f t="shared" si="215"/>
        <v>135.16818916132914</v>
      </c>
      <c r="DP99" s="19">
        <f t="shared" si="216"/>
        <v>131.23905595816126</v>
      </c>
      <c r="DQ99" s="19">
        <f t="shared" si="217"/>
        <v>127.30241246119841</v>
      </c>
      <c r="DR99" s="19">
        <f t="shared" si="218"/>
        <v>123.35804475987662</v>
      </c>
      <c r="DS99" s="19">
        <f t="shared" si="219"/>
        <v>119.40582357311592</v>
      </c>
      <c r="DT99" s="19">
        <f t="shared" si="220"/>
        <v>115.44570566502526</v>
      </c>
      <c r="DU99" s="19">
        <f t="shared" si="221"/>
        <v>111.47773431784492</v>
      </c>
      <c r="DV99" s="19">
        <f t="shared" si="222"/>
        <v>107.50203885697836</v>
      </c>
      <c r="DW99" s="19">
        <f t="shared" si="223"/>
        <v>103.51883323335026</v>
      </c>
      <c r="DX99" s="19">
        <f t="shared" si="224"/>
        <v>99.528413678654516</v>
      </c>
      <c r="DY99" s="19">
        <f t="shared" si="225"/>
        <v>95.531155459210666</v>
      </c>
      <c r="DZ99" s="19">
        <f t="shared" si="226"/>
        <v>91.527508764019188</v>
      </c>
      <c r="EA99" s="19">
        <f t="shared" si="227"/>
        <v>87.517993772086115</v>
      </c>
      <c r="EB99" s="19">
        <f t="shared" si="228"/>
        <v>83.503194953074214</v>
      </c>
      <c r="EC99" s="19">
        <f t="shared" si="229"/>
        <v>79.483754663731219</v>
      </c>
      <c r="ED99" s="19">
        <f t="shared" si="230"/>
        <v>75.460366110253474</v>
      </c>
      <c r="EE99" s="19">
        <f t="shared" si="231"/>
        <v>71.433765753684241</v>
      </c>
      <c r="EF99" s="19">
        <f t="shared" si="232"/>
        <v>67.404725241540802</v>
      </c>
      <c r="EG99" s="19">
        <f t="shared" si="233"/>
        <v>63.374042954050047</v>
      </c>
      <c r="EH99" s="17">
        <f t="shared" si="234"/>
        <v>59.342535257588374</v>
      </c>
    </row>
    <row r="100" spans="5:138" x14ac:dyDescent="0.25">
      <c r="E100" s="35"/>
      <c r="F100" s="21">
        <v>1.3333333333333334E-2</v>
      </c>
      <c r="G100" s="30">
        <f t="shared" si="139"/>
        <v>300</v>
      </c>
      <c r="H100" s="31">
        <f t="shared" si="235"/>
        <v>293.46028797508785</v>
      </c>
      <c r="I100" s="31">
        <f t="shared" si="236"/>
        <v>286.91918497930124</v>
      </c>
      <c r="J100" s="31">
        <f t="shared" si="237"/>
        <v>280.37531528281221</v>
      </c>
      <c r="K100" s="31">
        <f t="shared" si="238"/>
        <v>273.8273334708457</v>
      </c>
      <c r="L100" s="31">
        <f t="shared" si="239"/>
        <v>267.27393918543873</v>
      </c>
      <c r="M100" s="31">
        <f t="shared" si="240"/>
        <v>260.71389137338974</v>
      </c>
      <c r="N100" s="31">
        <f t="shared" si="241"/>
        <v>254.14602188425238</v>
      </c>
      <c r="O100" s="31">
        <f t="shared" si="242"/>
        <v>247.56924826935969</v>
      </c>
      <c r="P100" s="31">
        <f t="shared" si="243"/>
        <v>240.98258564162521</v>
      </c>
      <c r="Q100" s="31">
        <f t="shared" si="244"/>
        <v>234.38515746617185</v>
      </c>
      <c r="R100" s="31">
        <f t="shared" si="245"/>
        <v>227.77620516356438</v>
      </c>
      <c r="S100" s="31">
        <f t="shared" si="246"/>
        <v>221.15509642044151</v>
      </c>
      <c r="T100" s="31">
        <f t="shared" si="247"/>
        <v>214.5213321165179</v>
      </c>
      <c r="U100" s="31">
        <f t="shared" si="248"/>
        <v>207.87455179209491</v>
      </c>
      <c r="V100" s="31">
        <f t="shared" si="249"/>
        <v>201.21453759621932</v>
      </c>
      <c r="W100" s="31">
        <f t="shared" si="250"/>
        <v>194.54121667228131</v>
      </c>
      <c r="X100" s="31">
        <f t="shared" si="251"/>
        <v>187.85466195496844</v>
      </c>
      <c r="Y100" s="31">
        <f t="shared" si="252"/>
        <v>181.15509136989931</v>
      </c>
      <c r="Z100" s="31">
        <f t="shared" si="253"/>
        <v>174.4428654447623</v>
      </c>
      <c r="AA100" s="31">
        <f t="shared" si="254"/>
        <v>167.71848335818555</v>
      </c>
      <c r="AB100" s="31">
        <f t="shared" si="255"/>
        <v>160.98257746967607</v>
      </c>
      <c r="AC100" s="31">
        <f t="shared" si="256"/>
        <v>154.23590639060109</v>
      </c>
      <c r="AD100" s="31">
        <f t="shared" si="257"/>
        <v>147.47934667216037</v>
      </c>
      <c r="AE100" s="31">
        <f t="shared" si="258"/>
        <v>140.71388320144044</v>
      </c>
      <c r="AF100" s="31">
        <f t="shared" si="259"/>
        <v>133.94059841078561</v>
      </c>
      <c r="AG100" s="31">
        <f t="shared" si="260"/>
        <v>127.16066041871007</v>
      </c>
      <c r="AH100" s="31">
        <f t="shared" si="261"/>
        <v>120.37531023226973</v>
      </c>
      <c r="AI100" s="31">
        <f t="shared" si="262"/>
        <v>113.58584815108486</v>
      </c>
      <c r="AJ100" s="31">
        <f t="shared" si="263"/>
        <v>106.79361952194077</v>
      </c>
      <c r="AK100" s="30">
        <f t="shared" si="141"/>
        <v>100</v>
      </c>
      <c r="AL100" s="36"/>
      <c r="AM100" s="21">
        <v>1.3333333333333334E-2</v>
      </c>
      <c r="AN100" s="17">
        <f t="shared" si="142"/>
        <v>-1076400000</v>
      </c>
      <c r="AO100" s="19">
        <f t="shared" si="143"/>
        <v>-1052935496.0255859</v>
      </c>
      <c r="AP100" s="19">
        <f t="shared" si="144"/>
        <v>-1029466001.4365021</v>
      </c>
      <c r="AQ100" s="19">
        <f t="shared" si="145"/>
        <v>-1005986580.3008811</v>
      </c>
      <c r="AR100" s="19">
        <f t="shared" si="146"/>
        <v>-982492405.4531461</v>
      </c>
      <c r="AS100" s="19">
        <f t="shared" si="147"/>
        <v>-958978811.38543797</v>
      </c>
      <c r="AT100" s="19">
        <f t="shared" si="148"/>
        <v>-935441345.36732113</v>
      </c>
      <c r="AU100" s="19">
        <f t="shared" si="149"/>
        <v>-911875816.23353994</v>
      </c>
      <c r="AV100" s="19">
        <f t="shared" si="150"/>
        <v>-888278340.30517757</v>
      </c>
      <c r="AW100" s="19">
        <f t="shared" si="151"/>
        <v>-864645383.94101286</v>
      </c>
      <c r="AX100" s="19">
        <f t="shared" si="152"/>
        <v>-840973802.25283265</v>
      </c>
      <c r="AY100" s="19">
        <f t="shared" si="153"/>
        <v>-817260873.56052816</v>
      </c>
      <c r="AZ100" s="19">
        <f t="shared" si="154"/>
        <v>-793504329.20951462</v>
      </c>
      <c r="BA100" s="19">
        <f t="shared" si="155"/>
        <v>-769702378.42387843</v>
      </c>
      <c r="BB100" s="19">
        <f t="shared" si="156"/>
        <v>-745853727.92306566</v>
      </c>
      <c r="BC100" s="19">
        <f t="shared" si="157"/>
        <v>-721957596.0873425</v>
      </c>
      <c r="BD100" s="19">
        <f t="shared" si="158"/>
        <v>-698013721.51700127</v>
      </c>
      <c r="BE100" s="19">
        <f t="shared" si="159"/>
        <v>-674022365.89172554</v>
      </c>
      <c r="BF100" s="19">
        <f t="shared" si="160"/>
        <v>-649984311.09898818</v>
      </c>
      <c r="BG100" s="19">
        <f t="shared" si="161"/>
        <v>-625900850.66314495</v>
      </c>
      <c r="BH100" s="19">
        <f t="shared" si="162"/>
        <v>-601773775.56931841</v>
      </c>
      <c r="BI100" s="19">
        <f t="shared" si="163"/>
        <v>-577605354.63756466</v>
      </c>
      <c r="BJ100" s="19">
        <f t="shared" si="164"/>
        <v>-553398309.66249692</v>
      </c>
      <c r="BK100" s="19">
        <f t="shared" si="165"/>
        <v>-529155785.59085912</v>
      </c>
      <c r="BL100" s="19">
        <f t="shared" si="166"/>
        <v>-504881316.06387228</v>
      </c>
      <c r="BM100" s="19">
        <f t="shared" si="167"/>
        <v>-480578784.70192266</v>
      </c>
      <c r="BN100" s="19">
        <f t="shared" si="168"/>
        <v>-456252382.55576199</v>
      </c>
      <c r="BO100" s="19">
        <f t="shared" si="169"/>
        <v>-431906562.19035369</v>
      </c>
      <c r="BP100" s="19">
        <f t="shared" si="170"/>
        <v>-407545988.90434813</v>
      </c>
      <c r="BQ100" s="19">
        <f t="shared" si="171"/>
        <v>-383175489.61952114</v>
      </c>
      <c r="BR100" s="17">
        <f t="shared" si="172"/>
        <v>-358800000</v>
      </c>
      <c r="BT100" s="33"/>
      <c r="BU100" s="21">
        <v>1.3333333333333334E-2</v>
      </c>
      <c r="BV100" s="17">
        <f t="shared" si="173"/>
        <v>0.40709372886650147</v>
      </c>
      <c r="BW100" s="19">
        <f t="shared" si="174"/>
        <v>0.40709372886650147</v>
      </c>
      <c r="BX100" s="19">
        <f t="shared" si="175"/>
        <v>0.40709372886650147</v>
      </c>
      <c r="BY100" s="19">
        <f t="shared" si="176"/>
        <v>0.40709372886650147</v>
      </c>
      <c r="BZ100" s="19">
        <f t="shared" si="177"/>
        <v>0.40709372886650147</v>
      </c>
      <c r="CA100" s="19">
        <f t="shared" si="178"/>
        <v>0.40709372886650147</v>
      </c>
      <c r="CB100" s="19">
        <f t="shared" si="179"/>
        <v>0.40709372886650147</v>
      </c>
      <c r="CC100" s="19">
        <f t="shared" si="180"/>
        <v>0.40709372886650147</v>
      </c>
      <c r="CD100" s="19">
        <f t="shared" si="181"/>
        <v>0.40709372886650147</v>
      </c>
      <c r="CE100" s="19">
        <f t="shared" si="182"/>
        <v>0.40709372886650147</v>
      </c>
      <c r="CF100" s="19">
        <f t="shared" si="183"/>
        <v>0.40709372886650147</v>
      </c>
      <c r="CG100" s="19">
        <f t="shared" si="184"/>
        <v>0.40709372886650147</v>
      </c>
      <c r="CH100" s="19">
        <f t="shared" si="185"/>
        <v>0.40709372886650147</v>
      </c>
      <c r="CI100" s="19">
        <f t="shared" si="186"/>
        <v>0.40709372886650147</v>
      </c>
      <c r="CJ100" s="19">
        <f t="shared" si="187"/>
        <v>0.40709372886650147</v>
      </c>
      <c r="CK100" s="19">
        <f t="shared" si="188"/>
        <v>0.40709372886650147</v>
      </c>
      <c r="CL100" s="19">
        <f t="shared" si="189"/>
        <v>0.40709372886650147</v>
      </c>
      <c r="CM100" s="19">
        <f t="shared" si="190"/>
        <v>0.40709372886650147</v>
      </c>
      <c r="CN100" s="19">
        <f t="shared" si="191"/>
        <v>0.40709372886650147</v>
      </c>
      <c r="CO100" s="19">
        <f t="shared" si="192"/>
        <v>0.40709372886650147</v>
      </c>
      <c r="CP100" s="19">
        <f t="shared" si="193"/>
        <v>0.40709372886650147</v>
      </c>
      <c r="CQ100" s="19">
        <f t="shared" si="194"/>
        <v>0.40709372886650147</v>
      </c>
      <c r="CR100" s="19">
        <f t="shared" si="195"/>
        <v>0.40709372886650147</v>
      </c>
      <c r="CS100" s="19">
        <f t="shared" si="196"/>
        <v>0.40709372886650147</v>
      </c>
      <c r="CT100" s="19">
        <f t="shared" si="197"/>
        <v>0.40709372886650147</v>
      </c>
      <c r="CU100" s="19">
        <f t="shared" si="198"/>
        <v>0.40709372886650147</v>
      </c>
      <c r="CV100" s="19">
        <f t="shared" si="199"/>
        <v>0.40709372886650147</v>
      </c>
      <c r="CW100" s="19">
        <f t="shared" si="200"/>
        <v>0.40709372886650147</v>
      </c>
      <c r="CX100" s="19">
        <f t="shared" si="201"/>
        <v>0.40709372886650147</v>
      </c>
      <c r="CY100" s="19">
        <f t="shared" si="202"/>
        <v>0.40709372886650147</v>
      </c>
      <c r="CZ100" s="17">
        <f t="shared" si="203"/>
        <v>0.40709372886650147</v>
      </c>
      <c r="DB100" s="33"/>
      <c r="DC100" s="21">
        <v>1.3333333333333334E-2</v>
      </c>
      <c r="DD100" s="17">
        <f t="shared" si="204"/>
        <v>177.87188134004958</v>
      </c>
      <c r="DE100" s="19">
        <f t="shared" si="205"/>
        <v>173.99443799706947</v>
      </c>
      <c r="DF100" s="19">
        <f t="shared" si="206"/>
        <v>170.11617001624302</v>
      </c>
      <c r="DG100" s="19">
        <f t="shared" si="207"/>
        <v>166.23626179538556</v>
      </c>
      <c r="DH100" s="19">
        <f t="shared" si="208"/>
        <v>162.35391570460615</v>
      </c>
      <c r="DI100" s="19">
        <f t="shared" si="209"/>
        <v>158.4683608259667</v>
      </c>
      <c r="DJ100" s="19">
        <f t="shared" si="210"/>
        <v>154.57886140038576</v>
      </c>
      <c r="DK100" s="19">
        <f t="shared" si="211"/>
        <v>150.68472488921631</v>
      </c>
      <c r="DL100" s="19">
        <f t="shared" si="212"/>
        <v>146.78530956215366</v>
      </c>
      <c r="DM100" s="19">
        <f t="shared" si="213"/>
        <v>142.88003152832528</v>
      </c>
      <c r="DN100" s="19">
        <f t="shared" si="214"/>
        <v>138.96837113352123</v>
      </c>
      <c r="DO100" s="19">
        <f t="shared" si="215"/>
        <v>135.0498786534763</v>
      </c>
      <c r="DP100" s="19">
        <f t="shared" si="216"/>
        <v>131.12417922083355</v>
      </c>
      <c r="DQ100" s="19">
        <f t="shared" si="217"/>
        <v>127.19097693182233</v>
      </c>
      <c r="DR100" s="19">
        <f t="shared" si="218"/>
        <v>123.25005808767612</v>
      </c>
      <c r="DS100" s="19">
        <f t="shared" si="219"/>
        <v>119.30129353530197</v>
      </c>
      <c r="DT100" s="19">
        <f t="shared" si="220"/>
        <v>115.34464008158491</v>
      </c>
      <c r="DU100" s="19">
        <f t="shared" si="221"/>
        <v>111.38014096586406</v>
      </c>
      <c r="DV100" s="19">
        <f t="shared" si="222"/>
        <v>107.40792538543624</v>
      </c>
      <c r="DW100" s="19">
        <f t="shared" si="223"/>
        <v>103.42820707931978</v>
      </c>
      <c r="DX100" s="19">
        <f t="shared" si="224"/>
        <v>99.441281985825839</v>
      </c>
      <c r="DY100" s="19">
        <f t="shared" si="225"/>
        <v>95.447524999630843</v>
      </c>
      <c r="DZ100" s="19">
        <f t="shared" si="226"/>
        <v>91.4473858639046</v>
      </c>
      <c r="EA100" s="19">
        <f t="shared" si="227"/>
        <v>87.441384242520556</v>
      </c>
      <c r="EB100" s="19">
        <f t="shared" si="228"/>
        <v>83.430104026351302</v>
      </c>
      <c r="EC100" s="19">
        <f t="shared" si="229"/>
        <v>79.414186936037964</v>
      </c>
      <c r="ED100" s="19">
        <f t="shared" si="230"/>
        <v>75.394325491322974</v>
      </c>
      <c r="EE100" s="19">
        <f t="shared" si="231"/>
        <v>71.371255423968265</v>
      </c>
      <c r="EF100" s="19">
        <f t="shared" si="232"/>
        <v>67.345747617371472</v>
      </c>
      <c r="EG100" s="19">
        <f t="shared" si="233"/>
        <v>63.318599661171774</v>
      </c>
      <c r="EH100" s="17">
        <f t="shared" si="234"/>
        <v>59.290627113349856</v>
      </c>
    </row>
    <row r="101" spans="5:138" x14ac:dyDescent="0.25">
      <c r="E101" s="35"/>
      <c r="F101" s="21">
        <v>0.01</v>
      </c>
      <c r="G101" s="30">
        <f t="shared" si="139"/>
        <v>300</v>
      </c>
      <c r="H101" s="31">
        <f t="shared" si="235"/>
        <v>293.46027476476212</v>
      </c>
      <c r="I101" s="31">
        <f t="shared" si="236"/>
        <v>286.91915870343297</v>
      </c>
      <c r="J101" s="31">
        <f t="shared" si="237"/>
        <v>280.37527622937927</v>
      </c>
      <c r="K101" s="31">
        <f t="shared" si="238"/>
        <v>273.82728206786157</v>
      </c>
      <c r="L101" s="31">
        <f t="shared" si="239"/>
        <v>267.27387599625695</v>
      </c>
      <c r="M101" s="31">
        <f t="shared" si="240"/>
        <v>260.71381709052429</v>
      </c>
      <c r="N101" s="31">
        <f t="shared" si="241"/>
        <v>254.1459373217817</v>
      </c>
      <c r="O101" s="31">
        <f t="shared" si="242"/>
        <v>247.5691543539977</v>
      </c>
      <c r="P101" s="31">
        <f t="shared" si="243"/>
        <v>240.98248340255813</v>
      </c>
      <c r="Q101" s="31">
        <f t="shared" si="244"/>
        <v>234.38504802377201</v>
      </c>
      <c r="R101" s="31">
        <f t="shared" si="245"/>
        <v>227.7760897171058</v>
      </c>
      <c r="S101" s="31">
        <f t="shared" si="246"/>
        <v>221.15497623495145</v>
      </c>
      <c r="T101" s="31">
        <f t="shared" si="247"/>
        <v>214.52120850890958</v>
      </c>
      <c r="U101" s="31">
        <f t="shared" si="248"/>
        <v>207.8744261167331</v>
      </c>
      <c r="V101" s="31">
        <f t="shared" si="249"/>
        <v>201.21441123007764</v>
      </c>
      <c r="W101" s="31">
        <f t="shared" si="250"/>
        <v>194.54109099985368</v>
      </c>
      <c r="X101" s="31">
        <f t="shared" si="251"/>
        <v>187.85453835310028</v>
      </c>
      <c r="Y101" s="31">
        <f t="shared" si="252"/>
        <v>181.15497119270447</v>
      </c>
      <c r="Z101" s="31">
        <f t="shared" si="253"/>
        <v>174.44275000879151</v>
      </c>
      <c r="AA101" s="31">
        <f t="shared" si="254"/>
        <v>167.71837392800768</v>
      </c>
      <c r="AB101" s="31">
        <f t="shared" si="255"/>
        <v>160.98247524403092</v>
      </c>
      <c r="AC101" s="31">
        <f t="shared" si="256"/>
        <v>154.23581248927448</v>
      </c>
      <c r="AD101" s="31">
        <f t="shared" si="257"/>
        <v>147.47926212372505</v>
      </c>
      <c r="AE101" s="31">
        <f t="shared" si="258"/>
        <v>140.71380893199697</v>
      </c>
      <c r="AF101" s="31">
        <f t="shared" si="259"/>
        <v>133.94053523382576</v>
      </c>
      <c r="AG101" s="31">
        <f t="shared" si="260"/>
        <v>127.16060902621368</v>
      </c>
      <c r="AH101" s="31">
        <f t="shared" si="261"/>
        <v>120.37527118713203</v>
      </c>
      <c r="AI101" s="31">
        <f t="shared" si="262"/>
        <v>113.58582188095673</v>
      </c>
      <c r="AJ101" s="31">
        <f t="shared" si="263"/>
        <v>106.79360631454925</v>
      </c>
      <c r="AK101" s="30">
        <f t="shared" si="141"/>
        <v>100</v>
      </c>
      <c r="AL101" s="36"/>
      <c r="AM101" s="21">
        <v>0.01</v>
      </c>
      <c r="AN101" s="17">
        <f t="shared" si="142"/>
        <v>-1076400000</v>
      </c>
      <c r="AO101" s="19">
        <f t="shared" si="143"/>
        <v>-1052935447.9858286</v>
      </c>
      <c r="AP101" s="19">
        <f t="shared" si="144"/>
        <v>-1029465905.8834958</v>
      </c>
      <c r="AQ101" s="19">
        <f t="shared" si="145"/>
        <v>-1005986438.2818667</v>
      </c>
      <c r="AR101" s="19">
        <f t="shared" si="146"/>
        <v>-982492218.5246073</v>
      </c>
      <c r="AS101" s="19">
        <f t="shared" si="147"/>
        <v>-958978581.59602737</v>
      </c>
      <c r="AT101" s="19">
        <f t="shared" si="148"/>
        <v>-935441075.23538768</v>
      </c>
      <c r="AU101" s="19">
        <f t="shared" si="149"/>
        <v>-911875508.71950459</v>
      </c>
      <c r="AV101" s="19">
        <f t="shared" si="150"/>
        <v>-888277998.77906418</v>
      </c>
      <c r="AW101" s="19">
        <f t="shared" si="151"/>
        <v>-864645012.14548898</v>
      </c>
      <c r="AX101" s="19">
        <f t="shared" si="152"/>
        <v>-840973404.2621671</v>
      </c>
      <c r="AY101" s="19">
        <f t="shared" si="153"/>
        <v>-817260453.73591757</v>
      </c>
      <c r="AZ101" s="19">
        <f t="shared" si="154"/>
        <v>-793503892.15126956</v>
      </c>
      <c r="BA101" s="19">
        <f t="shared" si="155"/>
        <v>-769701928.92099464</v>
      </c>
      <c r="BB101" s="19">
        <f t="shared" si="156"/>
        <v>-745853270.9007324</v>
      </c>
      <c r="BC101" s="19">
        <f t="shared" si="157"/>
        <v>-721957136.55296707</v>
      </c>
      <c r="BD101" s="19">
        <f t="shared" si="158"/>
        <v>-698013264.50533831</v>
      </c>
      <c r="BE101" s="19">
        <f t="shared" si="159"/>
        <v>-674021916.40971589</v>
      </c>
      <c r="BF101" s="19">
        <f t="shared" si="160"/>
        <v>-649983874.07090878</v>
      </c>
      <c r="BG101" s="19">
        <f t="shared" si="161"/>
        <v>-625900430.8766731</v>
      </c>
      <c r="BH101" s="19">
        <f t="shared" si="162"/>
        <v>-601773377.6230979</v>
      </c>
      <c r="BI101" s="19">
        <f t="shared" si="163"/>
        <v>-577604982.89084983</v>
      </c>
      <c r="BJ101" s="19">
        <f t="shared" si="164"/>
        <v>-553397968.18742347</v>
      </c>
      <c r="BK101" s="19">
        <f t="shared" si="165"/>
        <v>-529155478.12786365</v>
      </c>
      <c r="BL101" s="19">
        <f t="shared" si="166"/>
        <v>-504881045.98074812</v>
      </c>
      <c r="BM101" s="19">
        <f t="shared" si="167"/>
        <v>-480578554.95695758</v>
      </c>
      <c r="BN101" s="19">
        <f t="shared" si="168"/>
        <v>-456252195.66536218</v>
      </c>
      <c r="BO101" s="19">
        <f t="shared" si="169"/>
        <v>-431906420.20150489</v>
      </c>
      <c r="BP101" s="19">
        <f t="shared" si="170"/>
        <v>-407545893.37221617</v>
      </c>
      <c r="BQ101" s="19">
        <f t="shared" si="171"/>
        <v>-383175441.59043413</v>
      </c>
      <c r="BR101" s="17">
        <f t="shared" si="172"/>
        <v>-358800000</v>
      </c>
      <c r="BT101" s="33"/>
      <c r="BU101" s="21">
        <v>0.01</v>
      </c>
      <c r="BV101" s="17">
        <f t="shared" si="173"/>
        <v>0.41022990753415084</v>
      </c>
      <c r="BW101" s="19">
        <f t="shared" si="174"/>
        <v>0.41022990753415084</v>
      </c>
      <c r="BX101" s="19">
        <f t="shared" si="175"/>
        <v>0.41022990753415084</v>
      </c>
      <c r="BY101" s="19">
        <f t="shared" si="176"/>
        <v>0.41022990753415084</v>
      </c>
      <c r="BZ101" s="19">
        <f t="shared" si="177"/>
        <v>0.41022990753415084</v>
      </c>
      <c r="CA101" s="19">
        <f t="shared" si="178"/>
        <v>0.41022990753415084</v>
      </c>
      <c r="CB101" s="19">
        <f t="shared" si="179"/>
        <v>0.41022990753415084</v>
      </c>
      <c r="CC101" s="19">
        <f t="shared" si="180"/>
        <v>0.41022990753415084</v>
      </c>
      <c r="CD101" s="19">
        <f t="shared" si="181"/>
        <v>0.41022990753415084</v>
      </c>
      <c r="CE101" s="19">
        <f t="shared" si="182"/>
        <v>0.41022990753415084</v>
      </c>
      <c r="CF101" s="19">
        <f t="shared" si="183"/>
        <v>0.41022990753415084</v>
      </c>
      <c r="CG101" s="19">
        <f t="shared" si="184"/>
        <v>0.41022990753415084</v>
      </c>
      <c r="CH101" s="19">
        <f t="shared" si="185"/>
        <v>0.41022990753415084</v>
      </c>
      <c r="CI101" s="19">
        <f t="shared" si="186"/>
        <v>0.41022990753415084</v>
      </c>
      <c r="CJ101" s="19">
        <f t="shared" si="187"/>
        <v>0.41022990753415084</v>
      </c>
      <c r="CK101" s="19">
        <f t="shared" si="188"/>
        <v>0.41022990753415084</v>
      </c>
      <c r="CL101" s="19">
        <f t="shared" si="189"/>
        <v>0.41022990753415084</v>
      </c>
      <c r="CM101" s="19">
        <f t="shared" si="190"/>
        <v>0.41022990753415084</v>
      </c>
      <c r="CN101" s="19">
        <f t="shared" si="191"/>
        <v>0.41022990753415084</v>
      </c>
      <c r="CO101" s="19">
        <f t="shared" si="192"/>
        <v>0.41022990753415084</v>
      </c>
      <c r="CP101" s="19">
        <f t="shared" si="193"/>
        <v>0.41022990753415084</v>
      </c>
      <c r="CQ101" s="19">
        <f t="shared" si="194"/>
        <v>0.41022990753415084</v>
      </c>
      <c r="CR101" s="19">
        <f t="shared" si="195"/>
        <v>0.41022990753415084</v>
      </c>
      <c r="CS101" s="19">
        <f t="shared" si="196"/>
        <v>0.41022990753415084</v>
      </c>
      <c r="CT101" s="19">
        <f t="shared" si="197"/>
        <v>0.41022990753415084</v>
      </c>
      <c r="CU101" s="19">
        <f t="shared" si="198"/>
        <v>0.41022990753415084</v>
      </c>
      <c r="CV101" s="19">
        <f t="shared" si="199"/>
        <v>0.41022990753415084</v>
      </c>
      <c r="CW101" s="19">
        <f t="shared" si="200"/>
        <v>0.41022990753415084</v>
      </c>
      <c r="CX101" s="19">
        <f t="shared" si="201"/>
        <v>0.41022990753415084</v>
      </c>
      <c r="CY101" s="19">
        <f t="shared" si="202"/>
        <v>0.41022990753415084</v>
      </c>
      <c r="CZ101" s="17">
        <f t="shared" si="203"/>
        <v>0.41022990753415084</v>
      </c>
      <c r="DB101" s="33"/>
      <c r="DC101" s="21">
        <v>0.01</v>
      </c>
      <c r="DD101" s="17">
        <f t="shared" si="204"/>
        <v>176.93102773975474</v>
      </c>
      <c r="DE101" s="19">
        <f t="shared" si="205"/>
        <v>173.07408796379656</v>
      </c>
      <c r="DF101" s="19">
        <f t="shared" si="206"/>
        <v>169.21632797960029</v>
      </c>
      <c r="DG101" s="19">
        <f t="shared" si="207"/>
        <v>165.35693656605284</v>
      </c>
      <c r="DH101" s="19">
        <f t="shared" si="208"/>
        <v>161.49512037779343</v>
      </c>
      <c r="DI101" s="19">
        <f t="shared" si="209"/>
        <v>157.63011263792615</v>
      </c>
      <c r="DJ101" s="19">
        <f t="shared" si="210"/>
        <v>153.76118153954997</v>
      </c>
      <c r="DK101" s="19">
        <f t="shared" si="211"/>
        <v>149.88763826403257</v>
      </c>
      <c r="DL101" s="19">
        <f t="shared" si="212"/>
        <v>146.00884452815905</v>
      </c>
      <c r="DM101" s="19">
        <f t="shared" si="213"/>
        <v>142.12421957745363</v>
      </c>
      <c r="DN101" s="19">
        <f t="shared" si="214"/>
        <v>138.23324654904695</v>
      </c>
      <c r="DO101" s="19">
        <f t="shared" si="215"/>
        <v>134.33547813437701</v>
      </c>
      <c r="DP101" s="19">
        <f t="shared" si="216"/>
        <v>130.43054147968752</v>
      </c>
      <c r="DQ101" s="19">
        <f t="shared" si="217"/>
        <v>126.51814227064757</v>
      </c>
      <c r="DR101" s="19">
        <f t="shared" si="218"/>
        <v>122.59806795635896</v>
      </c>
      <c r="DS101" s="19">
        <f t="shared" si="219"/>
        <v>118.6701900774537</v>
      </c>
      <c r="DT101" s="19">
        <f t="shared" si="220"/>
        <v>114.73446567280253</v>
      </c>
      <c r="DU101" s="19">
        <f t="shared" si="221"/>
        <v>110.7909377494544</v>
      </c>
      <c r="DV101" s="19">
        <f t="shared" si="222"/>
        <v>106.83973481069003</v>
      </c>
      <c r="DW101" s="19">
        <f t="shared" si="223"/>
        <v>102.88106944739434</v>
      </c>
      <c r="DX101" s="19">
        <f t="shared" si="224"/>
        <v>98.915236008211195</v>
      </c>
      <c r="DY101" s="19">
        <f t="shared" si="225"/>
        <v>94.942607374036427</v>
      </c>
      <c r="DZ101" s="19">
        <f t="shared" si="226"/>
        <v>90.963630872212249</v>
      </c>
      <c r="EA101" s="19">
        <f t="shared" si="227"/>
        <v>86.978823375207725</v>
      </c>
      <c r="EB101" s="19">
        <f t="shared" si="228"/>
        <v>82.988765637498744</v>
      </c>
      <c r="EC101" s="19">
        <f t="shared" si="229"/>
        <v>78.994095932700333</v>
      </c>
      <c r="ED101" s="19">
        <f t="shared" si="230"/>
        <v>74.995503060664703</v>
      </c>
      <c r="EE101" s="19">
        <f t="shared" si="231"/>
        <v>70.993718801153292</v>
      </c>
      <c r="EF101" s="19">
        <f t="shared" si="232"/>
        <v>66.989509896749098</v>
      </c>
      <c r="EG101" s="19">
        <f t="shared" si="233"/>
        <v>62.983669652826201</v>
      </c>
      <c r="EH101" s="17">
        <f t="shared" si="234"/>
        <v>58.977009246584913</v>
      </c>
    </row>
    <row r="102" spans="5:138" x14ac:dyDescent="0.25">
      <c r="E102" s="35"/>
      <c r="F102" s="21">
        <v>6.6666666666666671E-3</v>
      </c>
      <c r="G102" s="30">
        <f t="shared" si="139"/>
        <v>300</v>
      </c>
      <c r="H102" s="31">
        <f t="shared" si="235"/>
        <v>293.46026587089483</v>
      </c>
      <c r="I102" s="31">
        <f t="shared" si="236"/>
        <v>286.91914101317377</v>
      </c>
      <c r="J102" s="31">
        <f t="shared" si="237"/>
        <v>280.37524993660969</v>
      </c>
      <c r="K102" s="31">
        <f t="shared" si="238"/>
        <v>273.82724746074211</v>
      </c>
      <c r="L102" s="31">
        <f t="shared" si="239"/>
        <v>267.27383345406611</v>
      </c>
      <c r="M102" s="31">
        <f t="shared" si="240"/>
        <v>260.71376707949787</v>
      </c>
      <c r="N102" s="31">
        <f t="shared" si="241"/>
        <v>254.14588038999898</v>
      </c>
      <c r="O102" s="31">
        <f t="shared" si="242"/>
        <v>247.56909112536997</v>
      </c>
      <c r="P102" s="31">
        <f t="shared" si="243"/>
        <v>240.98241456998613</v>
      </c>
      <c r="Q102" s="31">
        <f t="shared" si="244"/>
        <v>234.38497434154777</v>
      </c>
      <c r="R102" s="31">
        <f t="shared" si="245"/>
        <v>227.77601199264194</v>
      </c>
      <c r="S102" s="31">
        <f t="shared" si="246"/>
        <v>221.1548953199291</v>
      </c>
      <c r="T102" s="31">
        <f t="shared" si="247"/>
        <v>214.52112528994206</v>
      </c>
      <c r="U102" s="31">
        <f t="shared" si="248"/>
        <v>207.87434150564815</v>
      </c>
      <c r="V102" s="31">
        <f t="shared" si="249"/>
        <v>201.2143261539243</v>
      </c>
      <c r="W102" s="31">
        <f t="shared" si="250"/>
        <v>194.54100639074414</v>
      </c>
      <c r="X102" s="31">
        <f t="shared" si="251"/>
        <v>187.85445513799732</v>
      </c>
      <c r="Y102" s="31">
        <f t="shared" si="252"/>
        <v>181.15489028326687</v>
      </c>
      <c r="Z102" s="31">
        <f t="shared" si="253"/>
        <v>174.44267229138853</v>
      </c>
      <c r="AA102" s="31">
        <f t="shared" si="254"/>
        <v>167.71830025401184</v>
      </c>
      <c r="AB102" s="31">
        <f t="shared" si="255"/>
        <v>160.98240642049524</v>
      </c>
      <c r="AC102" s="31">
        <f t="shared" si="256"/>
        <v>154.23574927009602</v>
      </c>
      <c r="AD102" s="31">
        <f t="shared" si="257"/>
        <v>147.47920520139164</v>
      </c>
      <c r="AE102" s="31">
        <f t="shared" si="258"/>
        <v>140.71375893000686</v>
      </c>
      <c r="AF102" s="31">
        <f t="shared" si="259"/>
        <v>133.94049269986328</v>
      </c>
      <c r="AG102" s="31">
        <f t="shared" si="260"/>
        <v>127.16057442615511</v>
      </c>
      <c r="AH102" s="31">
        <f t="shared" si="261"/>
        <v>120.37524489994721</v>
      </c>
      <c r="AI102" s="31">
        <f t="shared" si="262"/>
        <v>113.58580419456212</v>
      </c>
      <c r="AJ102" s="31">
        <f t="shared" si="263"/>
        <v>106.7935974226574</v>
      </c>
      <c r="AK102" s="30">
        <f t="shared" si="141"/>
        <v>100</v>
      </c>
      <c r="AL102" s="36"/>
      <c r="AM102" s="21">
        <v>6.6666666666666671E-3</v>
      </c>
      <c r="AN102" s="17">
        <f t="shared" si="142"/>
        <v>-1076400000</v>
      </c>
      <c r="AO102" s="19">
        <f t="shared" si="143"/>
        <v>-1052935415.6430075</v>
      </c>
      <c r="AP102" s="19">
        <f t="shared" si="144"/>
        <v>-1029465841.552326</v>
      </c>
      <c r="AQ102" s="19">
        <f t="shared" si="145"/>
        <v>-1005986342.6674039</v>
      </c>
      <c r="AR102" s="19">
        <f t="shared" si="146"/>
        <v>-982492092.67475629</v>
      </c>
      <c r="AS102" s="19">
        <f t="shared" si="147"/>
        <v>-958978426.89004588</v>
      </c>
      <c r="AT102" s="19">
        <f t="shared" si="148"/>
        <v>-935440893.36875653</v>
      </c>
      <c r="AU102" s="19">
        <f t="shared" si="149"/>
        <v>-911875301.68533099</v>
      </c>
      <c r="AV102" s="19">
        <f t="shared" si="150"/>
        <v>-888277768.84622061</v>
      </c>
      <c r="AW102" s="19">
        <f t="shared" si="151"/>
        <v>-864644761.83373022</v>
      </c>
      <c r="AX102" s="19">
        <f t="shared" si="152"/>
        <v>-840973136.31449938</v>
      </c>
      <c r="AY102" s="19">
        <f t="shared" si="153"/>
        <v>-817260171.08852136</v>
      </c>
      <c r="AZ102" s="19">
        <f t="shared" si="154"/>
        <v>-793503597.90130973</v>
      </c>
      <c r="BA102" s="19">
        <f t="shared" si="155"/>
        <v>-769701626.29266739</v>
      </c>
      <c r="BB102" s="19">
        <f t="shared" si="156"/>
        <v>-745852963.20992744</v>
      </c>
      <c r="BC102" s="19">
        <f t="shared" si="157"/>
        <v>-721956827.17092645</v>
      </c>
      <c r="BD102" s="19">
        <f t="shared" si="158"/>
        <v>-698012956.82171679</v>
      </c>
      <c r="BE102" s="19">
        <f t="shared" si="159"/>
        <v>-674021613.79544199</v>
      </c>
      <c r="BF102" s="19">
        <f t="shared" si="160"/>
        <v>-649983579.84125781</v>
      </c>
      <c r="BG102" s="19">
        <f t="shared" si="161"/>
        <v>-625900148.25495386</v>
      </c>
      <c r="BH102" s="19">
        <f t="shared" si="162"/>
        <v>-601773109.70535278</v>
      </c>
      <c r="BI102" s="19">
        <f t="shared" si="163"/>
        <v>-577604732.61195183</v>
      </c>
      <c r="BJ102" s="19">
        <f t="shared" si="164"/>
        <v>-553397738.28894246</v>
      </c>
      <c r="BK102" s="19">
        <f t="shared" si="165"/>
        <v>-529155271.12805271</v>
      </c>
      <c r="BL102" s="19">
        <f t="shared" si="166"/>
        <v>-504880864.14697772</v>
      </c>
      <c r="BM102" s="19">
        <f t="shared" si="167"/>
        <v>-480578400.28089869</v>
      </c>
      <c r="BN102" s="19">
        <f t="shared" si="168"/>
        <v>-456252069.84118813</v>
      </c>
      <c r="BO102" s="19">
        <f t="shared" si="169"/>
        <v>-431906324.60735112</v>
      </c>
      <c r="BP102" s="19">
        <f t="shared" si="170"/>
        <v>-407545829.05509967</v>
      </c>
      <c r="BQ102" s="19">
        <f t="shared" si="171"/>
        <v>-383175409.25479668</v>
      </c>
      <c r="BR102" s="17">
        <f t="shared" si="172"/>
        <v>-358800000</v>
      </c>
      <c r="BT102" s="33"/>
      <c r="BU102" s="21">
        <v>6.6666666666666671E-3</v>
      </c>
      <c r="BV102" s="17">
        <f t="shared" si="173"/>
        <v>0.42900919305413682</v>
      </c>
      <c r="BW102" s="19">
        <f t="shared" si="174"/>
        <v>0.42900919305413682</v>
      </c>
      <c r="BX102" s="19">
        <f t="shared" si="175"/>
        <v>0.42900919305413682</v>
      </c>
      <c r="BY102" s="19">
        <f t="shared" si="176"/>
        <v>0.42900919305413682</v>
      </c>
      <c r="BZ102" s="19">
        <f t="shared" si="177"/>
        <v>0.42900919305413682</v>
      </c>
      <c r="CA102" s="19">
        <f t="shared" si="178"/>
        <v>0.42900919305413682</v>
      </c>
      <c r="CB102" s="19">
        <f t="shared" si="179"/>
        <v>0.42900919305413682</v>
      </c>
      <c r="CC102" s="19">
        <f t="shared" si="180"/>
        <v>0.42900919305413682</v>
      </c>
      <c r="CD102" s="19">
        <f t="shared" si="181"/>
        <v>0.42900919305413682</v>
      </c>
      <c r="CE102" s="19">
        <f t="shared" si="182"/>
        <v>0.42900919305413682</v>
      </c>
      <c r="CF102" s="19">
        <f t="shared" si="183"/>
        <v>0.42900919305413682</v>
      </c>
      <c r="CG102" s="19">
        <f t="shared" si="184"/>
        <v>0.42900919305413682</v>
      </c>
      <c r="CH102" s="19">
        <f t="shared" si="185"/>
        <v>0.42900919305413682</v>
      </c>
      <c r="CI102" s="19">
        <f t="shared" si="186"/>
        <v>0.42900919305413682</v>
      </c>
      <c r="CJ102" s="19">
        <f t="shared" si="187"/>
        <v>0.42900919305413682</v>
      </c>
      <c r="CK102" s="19">
        <f t="shared" si="188"/>
        <v>0.42900919305413682</v>
      </c>
      <c r="CL102" s="19">
        <f t="shared" si="189"/>
        <v>0.42900919305413682</v>
      </c>
      <c r="CM102" s="19">
        <f t="shared" si="190"/>
        <v>0.42900919305413682</v>
      </c>
      <c r="CN102" s="19">
        <f t="shared" si="191"/>
        <v>0.42900919305413682</v>
      </c>
      <c r="CO102" s="19">
        <f t="shared" si="192"/>
        <v>0.42900919305413682</v>
      </c>
      <c r="CP102" s="19">
        <f t="shared" si="193"/>
        <v>0.42900919305413682</v>
      </c>
      <c r="CQ102" s="19">
        <f t="shared" si="194"/>
        <v>0.42900919305413682</v>
      </c>
      <c r="CR102" s="19">
        <f t="shared" si="195"/>
        <v>0.42900919305413682</v>
      </c>
      <c r="CS102" s="19">
        <f t="shared" si="196"/>
        <v>0.42900919305413682</v>
      </c>
      <c r="CT102" s="19">
        <f t="shared" si="197"/>
        <v>0.42900919305413682</v>
      </c>
      <c r="CU102" s="19">
        <f t="shared" si="198"/>
        <v>0.42900919305413682</v>
      </c>
      <c r="CV102" s="19">
        <f t="shared" si="199"/>
        <v>0.42900919305413682</v>
      </c>
      <c r="CW102" s="19">
        <f t="shared" si="200"/>
        <v>0.42900919305413682</v>
      </c>
      <c r="CX102" s="19">
        <f t="shared" si="201"/>
        <v>0.42900919305413682</v>
      </c>
      <c r="CY102" s="19">
        <f t="shared" si="202"/>
        <v>0.42900919305413682</v>
      </c>
      <c r="CZ102" s="17">
        <f t="shared" si="203"/>
        <v>0.42900919305413682</v>
      </c>
      <c r="DB102" s="33"/>
      <c r="DC102" s="21">
        <v>6.6666666666666671E-3</v>
      </c>
      <c r="DD102" s="17">
        <f t="shared" si="204"/>
        <v>171.29724208375893</v>
      </c>
      <c r="DE102" s="19">
        <f t="shared" si="205"/>
        <v>167.56311020061895</v>
      </c>
      <c r="DF102" s="19">
        <f t="shared" si="206"/>
        <v>163.8281842660422</v>
      </c>
      <c r="DG102" s="19">
        <f t="shared" si="207"/>
        <v>160.09167892911299</v>
      </c>
      <c r="DH102" s="19">
        <f t="shared" si="208"/>
        <v>156.35282614460129</v>
      </c>
      <c r="DI102" s="19">
        <f t="shared" si="209"/>
        <v>152.61088358846047</v>
      </c>
      <c r="DJ102" s="19">
        <f t="shared" si="210"/>
        <v>148.86514279142821</v>
      </c>
      <c r="DK102" s="19">
        <f t="shared" si="211"/>
        <v>145.11493690159418</v>
      </c>
      <c r="DL102" s="19">
        <f t="shared" si="212"/>
        <v>141.35964799086636</v>
      </c>
      <c r="DM102" s="19">
        <f t="shared" si="213"/>
        <v>137.59871382527274</v>
      </c>
      <c r="DN102" s="19">
        <f t="shared" si="214"/>
        <v>133.83163402491425</v>
      </c>
      <c r="DO102" s="19">
        <f t="shared" si="215"/>
        <v>130.05797554607972</v>
      </c>
      <c r="DP102" s="19">
        <f t="shared" si="216"/>
        <v>126.27737742546579</v>
      </c>
      <c r="DQ102" s="19">
        <f t="shared" si="217"/>
        <v>122.48955473453653</v>
      </c>
      <c r="DR102" s="19">
        <f t="shared" si="218"/>
        <v>118.69430170071668</v>
      </c>
      <c r="DS102" s="19">
        <f t="shared" si="219"/>
        <v>114.89149396124544</v>
      </c>
      <c r="DT102" s="19">
        <f t="shared" si="220"/>
        <v>111.08108992502551</v>
      </c>
      <c r="DU102" s="19">
        <f t="shared" si="221"/>
        <v>107.26313122757635</v>
      </c>
      <c r="DV102" s="19">
        <f t="shared" si="222"/>
        <v>103.43774227413931</v>
      </c>
      <c r="DW102" s="19">
        <f t="shared" si="223"/>
        <v>99.605128875972355</v>
      </c>
      <c r="DX102" s="19">
        <f t="shared" si="224"/>
        <v>95.765575994805289</v>
      </c>
      <c r="DY102" s="19">
        <f t="shared" si="225"/>
        <v>91.919444620195961</v>
      </c>
      <c r="DZ102" s="19">
        <f t="shared" si="226"/>
        <v>88.067167814023222</v>
      </c>
      <c r="EA102" s="19">
        <f t="shared" si="227"/>
        <v>84.209245965472832</v>
      </c>
      <c r="EB102" s="19">
        <f t="shared" si="228"/>
        <v>80.346241308516852</v>
      </c>
      <c r="EC102" s="19">
        <f t="shared" si="229"/>
        <v>76.478771761960516</v>
      </c>
      <c r="ED102" s="19">
        <f t="shared" si="230"/>
        <v>72.607504159546593</v>
      </c>
      <c r="EE102" s="19">
        <f t="shared" si="231"/>
        <v>68.733146944282808</v>
      </c>
      <c r="EF102" s="19">
        <f t="shared" si="232"/>
        <v>64.856442407021945</v>
      </c>
      <c r="EG102" s="19">
        <f t="shared" si="233"/>
        <v>60.978158554311449</v>
      </c>
      <c r="EH102" s="17">
        <f t="shared" si="234"/>
        <v>57.09908069458632</v>
      </c>
    </row>
    <row r="103" spans="5:138" x14ac:dyDescent="0.25">
      <c r="E103" s="35"/>
      <c r="F103" s="21">
        <v>3.3333333333333335E-3</v>
      </c>
      <c r="G103" s="30">
        <f t="shared" si="139"/>
        <v>300</v>
      </c>
      <c r="H103" s="31">
        <f t="shared" si="235"/>
        <v>293.4602613977433</v>
      </c>
      <c r="I103" s="31">
        <f t="shared" si="236"/>
        <v>286.91913211589571</v>
      </c>
      <c r="J103" s="31">
        <f t="shared" si="237"/>
        <v>280.37523671271737</v>
      </c>
      <c r="K103" s="31">
        <f t="shared" si="238"/>
        <v>273.82723005516527</v>
      </c>
      <c r="L103" s="31">
        <f t="shared" si="239"/>
        <v>267.273812057562</v>
      </c>
      <c r="M103" s="31">
        <f t="shared" si="240"/>
        <v>260.7137419265589</v>
      </c>
      <c r="N103" s="31">
        <f t="shared" si="241"/>
        <v>254.14585175628042</v>
      </c>
      <c r="O103" s="31">
        <f t="shared" si="242"/>
        <v>247.56905932466663</v>
      </c>
      <c r="P103" s="31">
        <f t="shared" si="243"/>
        <v>240.98237995079097</v>
      </c>
      <c r="Q103" s="31">
        <f t="shared" si="244"/>
        <v>234.38493728323039</v>
      </c>
      <c r="R103" s="31">
        <f t="shared" si="245"/>
        <v>227.77597290128875</v>
      </c>
      <c r="S103" s="31">
        <f t="shared" si="246"/>
        <v>221.15485462389131</v>
      </c>
      <c r="T103" s="31">
        <f t="shared" si="247"/>
        <v>214.52108343513996</v>
      </c>
      <c r="U103" s="31">
        <f t="shared" si="248"/>
        <v>207.87429895068354</v>
      </c>
      <c r="V103" s="31">
        <f t="shared" si="249"/>
        <v>201.21428336505454</v>
      </c>
      <c r="W103" s="31">
        <f t="shared" si="250"/>
        <v>194.54096383677307</v>
      </c>
      <c r="X103" s="31">
        <f t="shared" si="251"/>
        <v>187.85441328513886</v>
      </c>
      <c r="Y103" s="31">
        <f t="shared" si="252"/>
        <v>181.15484959003788</v>
      </c>
      <c r="Z103" s="31">
        <f t="shared" si="253"/>
        <v>174.44263320358655</v>
      </c>
      <c r="AA103" s="31">
        <f t="shared" si="254"/>
        <v>167.71826319983288</v>
      </c>
      <c r="AB103" s="31">
        <f t="shared" si="255"/>
        <v>160.98237180584482</v>
      </c>
      <c r="AC103" s="31">
        <f t="shared" si="256"/>
        <v>154.23571747414513</v>
      </c>
      <c r="AD103" s="31">
        <f t="shared" si="257"/>
        <v>147.4791765724255</v>
      </c>
      <c r="AE103" s="31">
        <f t="shared" si="258"/>
        <v>140.71373378161263</v>
      </c>
      <c r="AF103" s="31">
        <f t="shared" si="259"/>
        <v>133.94047130749763</v>
      </c>
      <c r="AG103" s="31">
        <f t="shared" si="260"/>
        <v>127.1605570241295</v>
      </c>
      <c r="AH103" s="31">
        <f t="shared" si="261"/>
        <v>120.3752316788637</v>
      </c>
      <c r="AI103" s="31">
        <f t="shared" si="262"/>
        <v>113.5857952992277</v>
      </c>
      <c r="AJ103" s="31">
        <f t="shared" si="263"/>
        <v>106.79359295049937</v>
      </c>
      <c r="AK103" s="30">
        <f t="shared" si="141"/>
        <v>100</v>
      </c>
      <c r="AL103" s="36"/>
      <c r="AM103" s="21">
        <v>3.3333333333333335E-3</v>
      </c>
      <c r="AN103" s="17">
        <f t="shared" si="142"/>
        <v>-1076400000</v>
      </c>
      <c r="AO103" s="19">
        <f t="shared" si="143"/>
        <v>-1052935399.3762555</v>
      </c>
      <c r="AP103" s="19">
        <f t="shared" si="144"/>
        <v>-1029465809.1971025</v>
      </c>
      <c r="AQ103" s="19">
        <f t="shared" si="145"/>
        <v>-1005986294.5783156</v>
      </c>
      <c r="AR103" s="19">
        <f t="shared" si="146"/>
        <v>-982492029.37884462</v>
      </c>
      <c r="AS103" s="19">
        <f t="shared" si="147"/>
        <v>-958978349.08100545</v>
      </c>
      <c r="AT103" s="19">
        <f t="shared" si="148"/>
        <v>-935440801.89932597</v>
      </c>
      <c r="AU103" s="19">
        <f t="shared" si="149"/>
        <v>-911875197.55793917</v>
      </c>
      <c r="AV103" s="19">
        <f t="shared" si="150"/>
        <v>-888277653.2019918</v>
      </c>
      <c r="AW103" s="19">
        <f t="shared" si="151"/>
        <v>-864644635.9399699</v>
      </c>
      <c r="AX103" s="19">
        <f t="shared" si="152"/>
        <v>-840973001.55079651</v>
      </c>
      <c r="AY103" s="19">
        <f t="shared" si="153"/>
        <v>-817260028.93162167</v>
      </c>
      <c r="AZ103" s="19">
        <f t="shared" si="154"/>
        <v>-793503449.90892541</v>
      </c>
      <c r="BA103" s="19">
        <f t="shared" si="155"/>
        <v>-769701474.08640146</v>
      </c>
      <c r="BB103" s="19">
        <f t="shared" si="156"/>
        <v>-745852808.45749903</v>
      </c>
      <c r="BC103" s="19">
        <f t="shared" si="157"/>
        <v>-721956671.56789494</v>
      </c>
      <c r="BD103" s="19">
        <f t="shared" si="158"/>
        <v>-698012802.07290161</v>
      </c>
      <c r="BE103" s="19">
        <f t="shared" si="159"/>
        <v>-674021461.5962441</v>
      </c>
      <c r="BF103" s="19">
        <f t="shared" si="160"/>
        <v>-649983431.85908794</v>
      </c>
      <c r="BG103" s="19">
        <f t="shared" si="161"/>
        <v>-625900006.11096835</v>
      </c>
      <c r="BH103" s="19">
        <f t="shared" si="162"/>
        <v>-601772974.95669937</v>
      </c>
      <c r="BI103" s="19">
        <f t="shared" si="163"/>
        <v>-577604606.73471856</v>
      </c>
      <c r="BJ103" s="19">
        <f t="shared" si="164"/>
        <v>-553397622.66199601</v>
      </c>
      <c r="BK103" s="19">
        <f t="shared" si="165"/>
        <v>-529155167.01794302</v>
      </c>
      <c r="BL103" s="19">
        <f t="shared" si="166"/>
        <v>-504880772.69407409</v>
      </c>
      <c r="BM103" s="19">
        <f t="shared" si="167"/>
        <v>-480578322.48690772</v>
      </c>
      <c r="BN103" s="19">
        <f t="shared" si="168"/>
        <v>-456252006.55819058</v>
      </c>
      <c r="BO103" s="19">
        <f t="shared" si="169"/>
        <v>-431906276.52847719</v>
      </c>
      <c r="BP103" s="19">
        <f t="shared" si="170"/>
        <v>-407545796.70694441</v>
      </c>
      <c r="BQ103" s="19">
        <f t="shared" si="171"/>
        <v>-383175392.9916575</v>
      </c>
      <c r="BR103" s="17">
        <f t="shared" si="172"/>
        <v>-358800000</v>
      </c>
      <c r="BT103" s="33"/>
      <c r="BU103" s="21">
        <v>3.3333333333333335E-3</v>
      </c>
      <c r="BV103" s="17">
        <f t="shared" si="173"/>
        <v>0.5357142857142857</v>
      </c>
      <c r="BW103" s="19">
        <f t="shared" si="174"/>
        <v>0.5357142857142857</v>
      </c>
      <c r="BX103" s="19">
        <f t="shared" si="175"/>
        <v>0.5357142857142857</v>
      </c>
      <c r="BY103" s="19">
        <f t="shared" si="176"/>
        <v>0.5357142857142857</v>
      </c>
      <c r="BZ103" s="19">
        <f t="shared" si="177"/>
        <v>0.5357142857142857</v>
      </c>
      <c r="CA103" s="19">
        <f t="shared" si="178"/>
        <v>0.5357142857142857</v>
      </c>
      <c r="CB103" s="19">
        <f t="shared" si="179"/>
        <v>0.5357142857142857</v>
      </c>
      <c r="CC103" s="19">
        <f t="shared" si="180"/>
        <v>0.5357142857142857</v>
      </c>
      <c r="CD103" s="19">
        <f t="shared" si="181"/>
        <v>0.5357142857142857</v>
      </c>
      <c r="CE103" s="19">
        <f t="shared" si="182"/>
        <v>0.5357142857142857</v>
      </c>
      <c r="CF103" s="19">
        <f t="shared" si="183"/>
        <v>0.5357142857142857</v>
      </c>
      <c r="CG103" s="19">
        <f t="shared" si="184"/>
        <v>0.5357142857142857</v>
      </c>
      <c r="CH103" s="19">
        <f t="shared" si="185"/>
        <v>0.5357142857142857</v>
      </c>
      <c r="CI103" s="19">
        <f t="shared" si="186"/>
        <v>0.5357142857142857</v>
      </c>
      <c r="CJ103" s="19">
        <f t="shared" si="187"/>
        <v>0.5357142857142857</v>
      </c>
      <c r="CK103" s="19">
        <f t="shared" si="188"/>
        <v>0.5357142857142857</v>
      </c>
      <c r="CL103" s="19">
        <f t="shared" si="189"/>
        <v>0.5357142857142857</v>
      </c>
      <c r="CM103" s="19">
        <f t="shared" si="190"/>
        <v>0.5357142857142857</v>
      </c>
      <c r="CN103" s="19">
        <f t="shared" si="191"/>
        <v>0.5357142857142857</v>
      </c>
      <c r="CO103" s="19">
        <f t="shared" si="192"/>
        <v>0.5357142857142857</v>
      </c>
      <c r="CP103" s="19">
        <f t="shared" si="193"/>
        <v>0.5357142857142857</v>
      </c>
      <c r="CQ103" s="19">
        <f t="shared" si="194"/>
        <v>0.5357142857142857</v>
      </c>
      <c r="CR103" s="19">
        <f t="shared" si="195"/>
        <v>0.5357142857142857</v>
      </c>
      <c r="CS103" s="19">
        <f t="shared" si="196"/>
        <v>0.5357142857142857</v>
      </c>
      <c r="CT103" s="19">
        <f t="shared" si="197"/>
        <v>0.5357142857142857</v>
      </c>
      <c r="CU103" s="19">
        <f t="shared" si="198"/>
        <v>0.5357142857142857</v>
      </c>
      <c r="CV103" s="19">
        <f t="shared" si="199"/>
        <v>0.5357142857142857</v>
      </c>
      <c r="CW103" s="19">
        <f t="shared" si="200"/>
        <v>0.5357142857142857</v>
      </c>
      <c r="CX103" s="19">
        <f t="shared" si="201"/>
        <v>0.5357142857142857</v>
      </c>
      <c r="CY103" s="19">
        <f t="shared" si="202"/>
        <v>0.5357142857142857</v>
      </c>
      <c r="CZ103" s="17">
        <f t="shared" si="203"/>
        <v>0.5357142857142857</v>
      </c>
      <c r="DB103" s="33"/>
      <c r="DC103" s="21">
        <v>3.3333333333333335E-3</v>
      </c>
      <c r="DD103" s="17">
        <f t="shared" si="204"/>
        <v>139.28571428571431</v>
      </c>
      <c r="DE103" s="19">
        <f t="shared" si="205"/>
        <v>136.24940468119249</v>
      </c>
      <c r="DF103" s="19">
        <f t="shared" si="206"/>
        <v>133.2124494302669</v>
      </c>
      <c r="DG103" s="19">
        <f t="shared" si="207"/>
        <v>130.17420996096217</v>
      </c>
      <c r="DH103" s="19">
        <f t="shared" si="208"/>
        <v>127.13406177262483</v>
      </c>
      <c r="DI103" s="19">
        <f t="shared" si="209"/>
        <v>124.09140127859803</v>
      </c>
      <c r="DJ103" s="19">
        <f t="shared" si="210"/>
        <v>121.04565241968506</v>
      </c>
      <c r="DK103" s="19">
        <f t="shared" si="211"/>
        <v>117.99627297592382</v>
      </c>
      <c r="DL103" s="19">
        <f t="shared" si="212"/>
        <v>114.94276050750413</v>
      </c>
      <c r="DM103" s="19">
        <f t="shared" si="213"/>
        <v>111.88465785972697</v>
      </c>
      <c r="DN103" s="19">
        <f t="shared" si="214"/>
        <v>108.82155817168693</v>
      </c>
      <c r="DO103" s="19">
        <f t="shared" si="215"/>
        <v>105.75310933380199</v>
      </c>
      <c r="DP103" s="19">
        <f t="shared" si="216"/>
        <v>102.67901784535786</v>
      </c>
      <c r="DQ103" s="19">
        <f t="shared" si="217"/>
        <v>99.599052029813862</v>
      </c>
      <c r="DR103" s="19">
        <f t="shared" si="218"/>
        <v>96.513044572657748</v>
      </c>
      <c r="DS103" s="19">
        <f t="shared" si="219"/>
        <v>93.420894354023687</v>
      </c>
      <c r="DT103" s="19">
        <f t="shared" si="220"/>
        <v>90.322567556017304</v>
      </c>
      <c r="DU103" s="19">
        <f t="shared" si="221"/>
        <v>87.218098032640299</v>
      </c>
      <c r="DV103" s="19">
        <f t="shared" si="222"/>
        <v>84.107586938287781</v>
      </c>
      <c r="DW103" s="19">
        <f t="shared" si="223"/>
        <v>80.991201618914133</v>
      </c>
      <c r="DX103" s="19">
        <f t="shared" si="224"/>
        <v>77.869173778040818</v>
      </c>
      <c r="DY103" s="19">
        <f t="shared" si="225"/>
        <v>74.741796937722384</v>
      </c>
      <c r="DZ103" s="19">
        <f t="shared" si="226"/>
        <v>71.609423222307981</v>
      </c>
      <c r="EA103" s="19">
        <f t="shared" si="227"/>
        <v>68.472459500251432</v>
      </c>
      <c r="EB103" s="19">
        <f t="shared" si="228"/>
        <v>65.331362926251828</v>
      </c>
      <c r="EC103" s="19">
        <f t="shared" si="229"/>
        <v>62.18663593257088</v>
      </c>
      <c r="ED103" s="19">
        <f t="shared" si="230"/>
        <v>59.03882072440355</v>
      </c>
      <c r="EE103" s="19">
        <f t="shared" si="231"/>
        <v>55.888493339606271</v>
      </c>
      <c r="EF103" s="19">
        <f t="shared" si="232"/>
        <v>52.736257337855129</v>
      </c>
      <c r="EG103" s="19">
        <f t="shared" si="233"/>
        <v>49.582737188361484</v>
      </c>
      <c r="EH103" s="17">
        <f t="shared" si="234"/>
        <v>46.428571428571438</v>
      </c>
    </row>
    <row r="104" spans="5:138" x14ac:dyDescent="0.25">
      <c r="E104" s="35"/>
      <c r="F104" s="21">
        <v>0</v>
      </c>
      <c r="G104" s="30">
        <f t="shared" si="139"/>
        <v>300</v>
      </c>
      <c r="H104" s="30">
        <f t="shared" si="235"/>
        <v>293.4602613977433</v>
      </c>
      <c r="I104" s="30">
        <f t="shared" si="236"/>
        <v>286.91913211589571</v>
      </c>
      <c r="J104" s="30">
        <f t="shared" si="237"/>
        <v>280.37523671271737</v>
      </c>
      <c r="K104" s="30">
        <f t="shared" si="238"/>
        <v>273.82723005516527</v>
      </c>
      <c r="L104" s="30">
        <f t="shared" si="239"/>
        <v>267.273812057562</v>
      </c>
      <c r="M104" s="30">
        <f t="shared" si="240"/>
        <v>260.7137419265589</v>
      </c>
      <c r="N104" s="30">
        <f t="shared" si="241"/>
        <v>254.14585175628042</v>
      </c>
      <c r="O104" s="30">
        <f t="shared" si="242"/>
        <v>247.56905932466663</v>
      </c>
      <c r="P104" s="30">
        <f t="shared" si="243"/>
        <v>240.98237995079097</v>
      </c>
      <c r="Q104" s="30">
        <f t="shared" si="244"/>
        <v>234.38493728323039</v>
      </c>
      <c r="R104" s="30">
        <f t="shared" si="245"/>
        <v>227.77597290128875</v>
      </c>
      <c r="S104" s="30">
        <f t="shared" si="246"/>
        <v>221.15485462389131</v>
      </c>
      <c r="T104" s="30">
        <f t="shared" si="247"/>
        <v>214.52108343513996</v>
      </c>
      <c r="U104" s="30">
        <f t="shared" si="248"/>
        <v>207.87429895068354</v>
      </c>
      <c r="V104" s="30">
        <f t="shared" si="249"/>
        <v>201.21428336505454</v>
      </c>
      <c r="W104" s="30">
        <f t="shared" si="250"/>
        <v>194.54096383677307</v>
      </c>
      <c r="X104" s="30">
        <f t="shared" si="251"/>
        <v>187.85441328513886</v>
      </c>
      <c r="Y104" s="30">
        <f t="shared" si="252"/>
        <v>181.15484959003788</v>
      </c>
      <c r="Z104" s="30">
        <f t="shared" si="253"/>
        <v>174.44263320358655</v>
      </c>
      <c r="AA104" s="30">
        <f t="shared" si="254"/>
        <v>167.71826319983288</v>
      </c>
      <c r="AB104" s="30">
        <f t="shared" si="255"/>
        <v>160.98237180584482</v>
      </c>
      <c r="AC104" s="30">
        <f t="shared" si="256"/>
        <v>154.23571747414513</v>
      </c>
      <c r="AD104" s="30">
        <f t="shared" si="257"/>
        <v>147.4791765724255</v>
      </c>
      <c r="AE104" s="30">
        <f t="shared" si="258"/>
        <v>140.71373378161263</v>
      </c>
      <c r="AF104" s="30">
        <f t="shared" si="259"/>
        <v>133.94047130749763</v>
      </c>
      <c r="AG104" s="30">
        <f t="shared" si="260"/>
        <v>127.1605570241295</v>
      </c>
      <c r="AH104" s="30">
        <f t="shared" si="261"/>
        <v>120.3752316788637</v>
      </c>
      <c r="AI104" s="30">
        <f t="shared" si="262"/>
        <v>113.5857952992277</v>
      </c>
      <c r="AJ104" s="30">
        <f t="shared" si="263"/>
        <v>106.79359295049937</v>
      </c>
      <c r="AK104" s="30">
        <f t="shared" si="141"/>
        <v>100</v>
      </c>
      <c r="AL104" s="36"/>
      <c r="AM104" s="21">
        <v>0</v>
      </c>
      <c r="AN104" s="17">
        <f t="shared" si="142"/>
        <v>-1076400000</v>
      </c>
      <c r="AO104" s="17">
        <f t="shared" si="143"/>
        <v>-1052935399.3762555</v>
      </c>
      <c r="AP104" s="17">
        <f t="shared" si="144"/>
        <v>-1029465809.1971025</v>
      </c>
      <c r="AQ104" s="17">
        <f t="shared" si="145"/>
        <v>-1005986294.5783156</v>
      </c>
      <c r="AR104" s="17">
        <f t="shared" si="146"/>
        <v>-982492029.37884462</v>
      </c>
      <c r="AS104" s="17">
        <f t="shared" si="147"/>
        <v>-958978349.08100545</v>
      </c>
      <c r="AT104" s="17">
        <f t="shared" si="148"/>
        <v>-935440801.89932597</v>
      </c>
      <c r="AU104" s="17">
        <f t="shared" si="149"/>
        <v>-911875197.55793917</v>
      </c>
      <c r="AV104" s="17">
        <f t="shared" si="150"/>
        <v>-888277653.2019918</v>
      </c>
      <c r="AW104" s="17">
        <f t="shared" si="151"/>
        <v>-864644635.9399699</v>
      </c>
      <c r="AX104" s="17">
        <f t="shared" si="152"/>
        <v>-840973001.55079651</v>
      </c>
      <c r="AY104" s="17">
        <f t="shared" si="153"/>
        <v>-817260028.93162167</v>
      </c>
      <c r="AZ104" s="17">
        <f t="shared" si="154"/>
        <v>-793503449.90892541</v>
      </c>
      <c r="BA104" s="17">
        <f t="shared" si="155"/>
        <v>-769701474.08640146</v>
      </c>
      <c r="BB104" s="17">
        <f t="shared" si="156"/>
        <v>-745852808.45749903</v>
      </c>
      <c r="BC104" s="17">
        <f t="shared" si="157"/>
        <v>-721956671.56789494</v>
      </c>
      <c r="BD104" s="17">
        <f t="shared" si="158"/>
        <v>-698012802.07290161</v>
      </c>
      <c r="BE104" s="17">
        <f t="shared" si="159"/>
        <v>-674021461.5962441</v>
      </c>
      <c r="BF104" s="17">
        <f t="shared" si="160"/>
        <v>-649983431.85908794</v>
      </c>
      <c r="BG104" s="17">
        <f t="shared" si="161"/>
        <v>-625900006.11096835</v>
      </c>
      <c r="BH104" s="17">
        <f t="shared" si="162"/>
        <v>-601772974.95669937</v>
      </c>
      <c r="BI104" s="17">
        <f t="shared" si="163"/>
        <v>-577604606.73471856</v>
      </c>
      <c r="BJ104" s="17">
        <f t="shared" si="164"/>
        <v>-553397622.66199601</v>
      </c>
      <c r="BK104" s="17">
        <f t="shared" si="165"/>
        <v>-529155167.01794302</v>
      </c>
      <c r="BL104" s="17">
        <f t="shared" si="166"/>
        <v>-504880772.69407409</v>
      </c>
      <c r="BM104" s="17">
        <f t="shared" si="167"/>
        <v>-480578322.48690772</v>
      </c>
      <c r="BN104" s="17">
        <f t="shared" si="168"/>
        <v>-456252006.55819058</v>
      </c>
      <c r="BO104" s="17">
        <f t="shared" si="169"/>
        <v>-431906276.52847719</v>
      </c>
      <c r="BP104" s="17">
        <f t="shared" si="170"/>
        <v>-407545796.70694441</v>
      </c>
      <c r="BQ104" s="17">
        <f t="shared" si="171"/>
        <v>-383175392.9916575</v>
      </c>
      <c r="BR104" s="17">
        <f t="shared" si="172"/>
        <v>-358800000</v>
      </c>
      <c r="BT104" s="33"/>
      <c r="BU104" s="21">
        <v>0</v>
      </c>
      <c r="BV104" s="17">
        <v>1</v>
      </c>
      <c r="BW104" s="17">
        <v>1</v>
      </c>
      <c r="BX104" s="17">
        <v>1</v>
      </c>
      <c r="BY104" s="17">
        <v>1</v>
      </c>
      <c r="BZ104" s="17">
        <v>1</v>
      </c>
      <c r="CA104" s="17">
        <v>1</v>
      </c>
      <c r="CB104" s="17">
        <v>1</v>
      </c>
      <c r="CC104" s="17">
        <v>1</v>
      </c>
      <c r="CD104" s="17">
        <v>1</v>
      </c>
      <c r="CE104" s="17">
        <v>1</v>
      </c>
      <c r="CF104" s="17">
        <v>1</v>
      </c>
      <c r="CG104" s="17">
        <v>1</v>
      </c>
      <c r="CH104" s="17">
        <v>1</v>
      </c>
      <c r="CI104" s="17">
        <v>1</v>
      </c>
      <c r="CJ104" s="17">
        <v>1</v>
      </c>
      <c r="CK104" s="17">
        <v>1</v>
      </c>
      <c r="CL104" s="17">
        <v>1</v>
      </c>
      <c r="CM104" s="17">
        <v>1</v>
      </c>
      <c r="CN104" s="17">
        <v>1</v>
      </c>
      <c r="CO104" s="17">
        <v>1</v>
      </c>
      <c r="CP104" s="17">
        <v>1</v>
      </c>
      <c r="CQ104" s="17">
        <v>1</v>
      </c>
      <c r="CR104" s="17">
        <v>1</v>
      </c>
      <c r="CS104" s="17">
        <v>1</v>
      </c>
      <c r="CT104" s="17">
        <v>1</v>
      </c>
      <c r="CU104" s="17">
        <v>1</v>
      </c>
      <c r="CV104" s="17">
        <v>1</v>
      </c>
      <c r="CW104" s="17">
        <v>1</v>
      </c>
      <c r="CX104" s="17">
        <v>1</v>
      </c>
      <c r="CY104" s="17">
        <v>1</v>
      </c>
      <c r="CZ104" s="17">
        <v>1</v>
      </c>
      <c r="DB104" s="33"/>
      <c r="DC104" s="21">
        <v>0</v>
      </c>
      <c r="DD104" s="17">
        <v>0</v>
      </c>
      <c r="DE104" s="17">
        <v>0</v>
      </c>
      <c r="DF104" s="17">
        <v>0</v>
      </c>
      <c r="DG104" s="17">
        <v>0</v>
      </c>
      <c r="DH104" s="17">
        <v>0</v>
      </c>
      <c r="DI104" s="17">
        <v>0</v>
      </c>
      <c r="DJ104" s="17">
        <v>0</v>
      </c>
      <c r="DK104" s="17">
        <v>0</v>
      </c>
      <c r="DL104" s="17">
        <v>0</v>
      </c>
      <c r="DM104" s="17">
        <v>0</v>
      </c>
      <c r="DN104" s="17">
        <v>0</v>
      </c>
      <c r="DO104" s="17">
        <v>0</v>
      </c>
      <c r="DP104" s="17">
        <v>0</v>
      </c>
      <c r="DQ104" s="17">
        <v>0</v>
      </c>
      <c r="DR104" s="17">
        <v>0</v>
      </c>
      <c r="DS104" s="17">
        <v>0</v>
      </c>
      <c r="DT104" s="17">
        <v>0</v>
      </c>
      <c r="DU104" s="17">
        <v>0</v>
      </c>
      <c r="DV104" s="17">
        <v>0</v>
      </c>
      <c r="DW104" s="17">
        <v>0</v>
      </c>
      <c r="DX104" s="17">
        <v>0</v>
      </c>
      <c r="DY104" s="17">
        <v>0</v>
      </c>
      <c r="DZ104" s="17">
        <v>0</v>
      </c>
      <c r="EA104" s="17">
        <v>0</v>
      </c>
      <c r="EB104" s="17">
        <v>0</v>
      </c>
      <c r="EC104" s="17">
        <v>0</v>
      </c>
      <c r="ED104" s="17">
        <v>0</v>
      </c>
      <c r="EE104" s="17">
        <v>0</v>
      </c>
      <c r="EF104" s="17">
        <v>0</v>
      </c>
      <c r="EG104" s="17">
        <v>0</v>
      </c>
      <c r="EH104" s="17">
        <v>0</v>
      </c>
    </row>
    <row r="105" spans="5:138" x14ac:dyDescent="0.25">
      <c r="AM105" s="10"/>
    </row>
    <row r="106" spans="5:138" x14ac:dyDescent="0.25">
      <c r="AM106" s="10"/>
    </row>
    <row r="107" spans="5:138" x14ac:dyDescent="0.25">
      <c r="AM107" s="10"/>
    </row>
    <row r="108" spans="5:138" x14ac:dyDescent="0.25">
      <c r="AM108" s="10"/>
    </row>
    <row r="109" spans="5:138" x14ac:dyDescent="0.25">
      <c r="AM109" s="10"/>
    </row>
    <row r="110" spans="5:138" x14ac:dyDescent="0.25">
      <c r="AM110" s="10"/>
    </row>
    <row r="111" spans="5:138" x14ac:dyDescent="0.25">
      <c r="AM111" s="10"/>
    </row>
    <row r="112" spans="5:138" x14ac:dyDescent="0.25">
      <c r="AM112" s="10"/>
    </row>
    <row r="113" spans="39:39" x14ac:dyDescent="0.25">
      <c r="AM113" s="10"/>
    </row>
    <row r="114" spans="39:39" x14ac:dyDescent="0.25">
      <c r="AM114" s="10"/>
    </row>
    <row r="115" spans="39:39" x14ac:dyDescent="0.25">
      <c r="AM115" s="10"/>
    </row>
    <row r="116" spans="39:39" x14ac:dyDescent="0.25">
      <c r="AM116" s="10"/>
    </row>
    <row r="117" spans="39:39" x14ac:dyDescent="0.25">
      <c r="AM117" s="10"/>
    </row>
    <row r="118" spans="39:39" x14ac:dyDescent="0.25">
      <c r="AM118" s="10"/>
    </row>
    <row r="119" spans="39:39" x14ac:dyDescent="0.25">
      <c r="AM119" s="10"/>
    </row>
    <row r="120" spans="39:39" x14ac:dyDescent="0.25">
      <c r="AM120" s="10"/>
    </row>
    <row r="121" spans="39:39" x14ac:dyDescent="0.25">
      <c r="AM121" s="10"/>
    </row>
    <row r="122" spans="39:39" x14ac:dyDescent="0.25">
      <c r="AM122" s="10"/>
    </row>
    <row r="123" spans="39:39" x14ac:dyDescent="0.25">
      <c r="AM123" s="10"/>
    </row>
    <row r="124" spans="39:39" x14ac:dyDescent="0.25">
      <c r="AM124" s="10"/>
    </row>
    <row r="125" spans="39:39" x14ac:dyDescent="0.25">
      <c r="AM125" s="10"/>
    </row>
    <row r="126" spans="39:39" x14ac:dyDescent="0.25">
      <c r="AM126" s="10"/>
    </row>
    <row r="127" spans="39:39" x14ac:dyDescent="0.25">
      <c r="AM127" s="10"/>
    </row>
    <row r="128" spans="39:39" x14ac:dyDescent="0.25">
      <c r="AM128" s="10"/>
    </row>
    <row r="129" spans="39:39" x14ac:dyDescent="0.25">
      <c r="AM129" s="10"/>
    </row>
    <row r="130" spans="39:39" x14ac:dyDescent="0.25">
      <c r="AM130" s="10"/>
    </row>
    <row r="131" spans="39:39" x14ac:dyDescent="0.25">
      <c r="AM131" s="10"/>
    </row>
    <row r="132" spans="39:39" x14ac:dyDescent="0.25">
      <c r="AM132" s="10"/>
    </row>
    <row r="133" spans="39:39" x14ac:dyDescent="0.25">
      <c r="AM133" s="10"/>
    </row>
    <row r="134" spans="39:39" x14ac:dyDescent="0.25">
      <c r="AM134" s="10"/>
    </row>
    <row r="135" spans="39:39" x14ac:dyDescent="0.25">
      <c r="AM135" s="10"/>
    </row>
    <row r="136" spans="39:39" x14ac:dyDescent="0.25">
      <c r="AM136" s="10"/>
    </row>
    <row r="137" spans="39:39" x14ac:dyDescent="0.25">
      <c r="AM137" s="10"/>
    </row>
    <row r="138" spans="39:39" x14ac:dyDescent="0.25">
      <c r="AM138" s="10"/>
    </row>
    <row r="139" spans="39:39" x14ac:dyDescent="0.25">
      <c r="AM139" s="10"/>
    </row>
    <row r="140" spans="39:39" x14ac:dyDescent="0.25">
      <c r="AM140" s="10"/>
    </row>
    <row r="141" spans="39:39" x14ac:dyDescent="0.25">
      <c r="AM141" s="10"/>
    </row>
    <row r="142" spans="39:39" x14ac:dyDescent="0.25">
      <c r="AM142" s="10"/>
    </row>
    <row r="143" spans="39:39" x14ac:dyDescent="0.25">
      <c r="AM143" s="10"/>
    </row>
    <row r="144" spans="39:39" x14ac:dyDescent="0.25">
      <c r="AM144" s="10"/>
    </row>
    <row r="145" spans="39:39" x14ac:dyDescent="0.25">
      <c r="AM145" s="10"/>
    </row>
    <row r="146" spans="39:39" x14ac:dyDescent="0.25">
      <c r="AM146" s="10"/>
    </row>
    <row r="147" spans="39:39" x14ac:dyDescent="0.25">
      <c r="AM147" s="10"/>
    </row>
    <row r="148" spans="39:39" x14ac:dyDescent="0.25">
      <c r="AM148" s="10"/>
    </row>
    <row r="149" spans="39:39" x14ac:dyDescent="0.25">
      <c r="AM149" s="10"/>
    </row>
    <row r="150" spans="39:39" x14ac:dyDescent="0.25">
      <c r="AM150" s="10"/>
    </row>
    <row r="151" spans="39:39" x14ac:dyDescent="0.25">
      <c r="AM151" s="10"/>
    </row>
    <row r="152" spans="39:39" x14ac:dyDescent="0.25">
      <c r="AM152" s="10"/>
    </row>
    <row r="153" spans="39:39" x14ac:dyDescent="0.25">
      <c r="AM153" s="10"/>
    </row>
    <row r="154" spans="39:39" x14ac:dyDescent="0.25">
      <c r="AM154" s="10"/>
    </row>
    <row r="155" spans="39:39" x14ac:dyDescent="0.25">
      <c r="AM155" s="10"/>
    </row>
    <row r="156" spans="39:39" x14ac:dyDescent="0.25">
      <c r="AM156" s="10"/>
    </row>
    <row r="157" spans="39:39" x14ac:dyDescent="0.25">
      <c r="AM157" s="10"/>
    </row>
    <row r="158" spans="39:39" x14ac:dyDescent="0.25">
      <c r="AM158" s="10"/>
    </row>
    <row r="159" spans="39:39" x14ac:dyDescent="0.25">
      <c r="AM159" s="10"/>
    </row>
    <row r="160" spans="39:39" x14ac:dyDescent="0.25">
      <c r="AM160" s="10"/>
    </row>
    <row r="161" spans="39:39" x14ac:dyDescent="0.25">
      <c r="AM161" s="10"/>
    </row>
    <row r="162" spans="39:39" x14ac:dyDescent="0.25">
      <c r="AM162" s="10"/>
    </row>
  </sheetData>
  <mergeCells count="13">
    <mergeCell ref="A1:B2"/>
    <mergeCell ref="A24:B24"/>
    <mergeCell ref="A19:B19"/>
    <mergeCell ref="A15:B15"/>
    <mergeCell ref="A10:B10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95250</xdr:rowOff>
                  </from>
                  <to>
                    <xdr:col>2</xdr:col>
                    <xdr:colOff>95250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57150</xdr:colOff>
                    <xdr:row>29</xdr:row>
                    <xdr:rowOff>123825</xdr:rowOff>
                  </from>
                  <to>
                    <xdr:col>2</xdr:col>
                    <xdr:colOff>76200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38"/>
  <sheetViews>
    <sheetView topLeftCell="A13" zoomScale="80" zoomScaleNormal="80" workbookViewId="0">
      <selection activeCell="BA36" sqref="BA36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</row>
    <row r="5" spans="2:36" x14ac:dyDescent="0.25">
      <c r="B5" s="2" t="s">
        <v>2</v>
      </c>
      <c r="C5" s="3">
        <v>10</v>
      </c>
    </row>
    <row r="6" spans="2:36" x14ac:dyDescent="0.25">
      <c r="B6" s="2" t="s">
        <v>3</v>
      </c>
      <c r="C6" s="3">
        <v>1000</v>
      </c>
      <c r="D6">
        <v>1010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E11" s="2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s="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s="2" t="s">
        <v>7</v>
      </c>
      <c r="F13" s="2">
        <v>300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100</v>
      </c>
    </row>
    <row r="14" spans="2:36" x14ac:dyDescent="0.25">
      <c r="B14" s="6" t="s">
        <v>17</v>
      </c>
      <c r="C14" s="2">
        <f>$C$10/($C$4^2)</f>
        <v>4139999.9999999991</v>
      </c>
    </row>
    <row r="15" spans="2:36" x14ac:dyDescent="0.25">
      <c r="B15" s="6" t="s">
        <v>18</v>
      </c>
      <c r="C15" s="2">
        <f>(2*$C$10)/($C$4^2)+($C$9*$C$8)/$C$5</f>
        <v>8638799.9999999981</v>
      </c>
      <c r="E15" s="2" t="s">
        <v>10</v>
      </c>
      <c r="F15" s="2"/>
      <c r="G15" s="2">
        <f>G17*H15+G18</f>
        <v>223.73970929894193</v>
      </c>
      <c r="H15" s="2">
        <f t="shared" ref="H15:AH15" si="1">H17*I15+H18</f>
        <v>166.87019340379214</v>
      </c>
      <c r="I15" s="2">
        <f t="shared" si="1"/>
        <v>124.46276093697104</v>
      </c>
      <c r="J15" s="2">
        <f t="shared" si="1"/>
        <v>92.842101084687428</v>
      </c>
      <c r="K15" s="2">
        <f t="shared" si="1"/>
        <v>69.267756659743384</v>
      </c>
      <c r="L15" s="2">
        <f t="shared" si="1"/>
        <v>51.696617811977106</v>
      </c>
      <c r="M15" s="2">
        <f t="shared" si="1"/>
        <v>38.605852507915522</v>
      </c>
      <c r="N15" s="2">
        <f t="shared" si="1"/>
        <v>28.860927754539947</v>
      </c>
      <c r="O15" s="2">
        <f t="shared" si="1"/>
        <v>21.617283406557839</v>
      </c>
      <c r="P15" s="2">
        <f t="shared" si="1"/>
        <v>16.247136953810745</v>
      </c>
      <c r="Q15" s="2">
        <f t="shared" si="1"/>
        <v>12.285075703727244</v>
      </c>
      <c r="R15" s="2">
        <f t="shared" si="1"/>
        <v>9.3877210146334402</v>
      </c>
      <c r="S15" s="2">
        <f t="shared" si="1"/>
        <v>7.3039688134745333</v>
      </c>
      <c r="T15" s="2">
        <f t="shared" si="1"/>
        <v>5.8532272428167511</v>
      </c>
      <c r="U15" s="2">
        <f t="shared" si="1"/>
        <v>4.9097653665364209</v>
      </c>
      <c r="V15" s="2">
        <f t="shared" si="1"/>
        <v>4.3918164886892477</v>
      </c>
      <c r="W15" s="2">
        <f t="shared" si="1"/>
        <v>4.2544917065284755</v>
      </c>
      <c r="X15" s="2">
        <f t="shared" si="1"/>
        <v>4.4858895389335052</v>
      </c>
      <c r="Y15" s="2">
        <f t="shared" si="1"/>
        <v>5.1060644647127722</v>
      </c>
      <c r="Z15" s="2">
        <f t="shared" si="1"/>
        <v>6.1687649774338125</v>
      </c>
      <c r="AA15" s="2">
        <f t="shared" si="1"/>
        <v>7.7660917881991161</v>
      </c>
      <c r="AB15" s="2">
        <f t="shared" si="1"/>
        <v>10.036479887275011</v>
      </c>
      <c r="AC15" s="2">
        <f t="shared" si="1"/>
        <v>13.176696243248072</v>
      </c>
      <c r="AD15" s="2">
        <f t="shared" si="1"/>
        <v>17.458892940302633</v>
      </c>
      <c r="AE15" s="2">
        <f t="shared" si="1"/>
        <v>23.254193692183424</v>
      </c>
      <c r="AF15" s="2">
        <f t="shared" si="1"/>
        <v>31.064857897386773</v>
      </c>
      <c r="AG15" s="2">
        <f t="shared" si="1"/>
        <v>41.567809787030313</v>
      </c>
      <c r="AH15" s="2">
        <f t="shared" si="1"/>
        <v>55.673305191549815</v>
      </c>
      <c r="AI15" s="2">
        <f>AI17*AJ15+AI18</f>
        <v>74.603820379336966</v>
      </c>
      <c r="AJ15" s="2">
        <v>100</v>
      </c>
    </row>
    <row r="16" spans="2:36" x14ac:dyDescent="0.25">
      <c r="B16" s="6" t="s">
        <v>19</v>
      </c>
      <c r="C16" s="2">
        <f>$C$10/($C$4^2)</f>
        <v>4139999.9999999991</v>
      </c>
      <c r="E16" s="2" t="s">
        <v>20</v>
      </c>
      <c r="F16" s="2">
        <f>-($C$9*$C$8)/$C$5*F13</f>
        <v>-107640000</v>
      </c>
      <c r="G16" s="2">
        <f>-($C$9*$C$8)/$C$5*G13</f>
        <v>0</v>
      </c>
      <c r="H16" s="2">
        <f t="shared" ref="H16:AH16" si="2">-($C$9*$C$8)/$C$5*H13</f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</v>
      </c>
      <c r="Q16" s="2">
        <f t="shared" si="2"/>
        <v>0</v>
      </c>
      <c r="R16" s="2">
        <f t="shared" si="2"/>
        <v>0</v>
      </c>
      <c r="S16" s="2">
        <f t="shared" si="2"/>
        <v>0</v>
      </c>
      <c r="T16" s="2">
        <f t="shared" si="2"/>
        <v>0</v>
      </c>
      <c r="U16" s="2">
        <f t="shared" si="2"/>
        <v>0</v>
      </c>
      <c r="V16" s="2">
        <f t="shared" si="2"/>
        <v>0</v>
      </c>
      <c r="W16" s="2">
        <f t="shared" si="2"/>
        <v>0</v>
      </c>
      <c r="X16" s="2">
        <f t="shared" si="2"/>
        <v>0</v>
      </c>
      <c r="Y16" s="2">
        <f t="shared" si="2"/>
        <v>0</v>
      </c>
      <c r="Z16" s="2">
        <f t="shared" si="2"/>
        <v>0</v>
      </c>
      <c r="AA16" s="2">
        <f t="shared" si="2"/>
        <v>0</v>
      </c>
      <c r="AB16" s="2">
        <f t="shared" si="2"/>
        <v>0</v>
      </c>
      <c r="AC16" s="2">
        <f t="shared" si="2"/>
        <v>0</v>
      </c>
      <c r="AD16" s="2">
        <f t="shared" si="2"/>
        <v>0</v>
      </c>
      <c r="AE16" s="2">
        <f t="shared" si="2"/>
        <v>0</v>
      </c>
      <c r="AF16" s="2">
        <f t="shared" si="2"/>
        <v>0</v>
      </c>
      <c r="AG16" s="2">
        <f t="shared" si="2"/>
        <v>0</v>
      </c>
      <c r="AH16" s="2">
        <f t="shared" si="2"/>
        <v>0</v>
      </c>
      <c r="AI16" s="2">
        <f>-($C$9*$C$8)/$C$5*AI13</f>
        <v>0</v>
      </c>
      <c r="AJ16" s="2">
        <f t="shared" ref="AJ16" si="3">-($C$9*$C$8)/$C$5*AJ13</f>
        <v>-35880000</v>
      </c>
    </row>
    <row r="17" spans="2:36" x14ac:dyDescent="0.25">
      <c r="B17" s="7"/>
      <c r="E17" s="2" t="s">
        <v>21</v>
      </c>
      <c r="F17" s="2">
        <v>0</v>
      </c>
      <c r="G17" s="2">
        <f>$C$14/($C$15-$C$16*F17)</f>
        <v>0.47923322683706071</v>
      </c>
      <c r="H17" s="2">
        <f t="shared" ref="H17:AJ17" si="4">$C$14/($C$15-$C$16*G17)</f>
        <v>0.62210974042322009</v>
      </c>
      <c r="I17" s="2">
        <f t="shared" si="4"/>
        <v>0.68280036240378583</v>
      </c>
      <c r="J17" s="2">
        <f t="shared" si="4"/>
        <v>0.71231854270130357</v>
      </c>
      <c r="K17" s="2">
        <f t="shared" si="4"/>
        <v>0.72761768474986643</v>
      </c>
      <c r="L17" s="2">
        <f t="shared" si="4"/>
        <v>0.73580865245165905</v>
      </c>
      <c r="M17" s="2">
        <f t="shared" si="4"/>
        <v>0.74027025007591674</v>
      </c>
      <c r="N17" s="2">
        <f t="shared" si="4"/>
        <v>0.74272330769575978</v>
      </c>
      <c r="O17" s="2">
        <f t="shared" si="4"/>
        <v>0.7440789772313966</v>
      </c>
      <c r="P17" s="2">
        <f t="shared" si="4"/>
        <v>0.74483030633226499</v>
      </c>
      <c r="Q17" s="2">
        <f t="shared" si="4"/>
        <v>0.74524735620578053</v>
      </c>
      <c r="R17" s="2">
        <f t="shared" si="4"/>
        <v>0.74547905505879375</v>
      </c>
      <c r="S17" s="2">
        <f t="shared" si="4"/>
        <v>0.74560784139748904</v>
      </c>
      <c r="T17" s="2">
        <f t="shared" si="4"/>
        <v>0.74567944459802482</v>
      </c>
      <c r="U17" s="2">
        <f t="shared" si="4"/>
        <v>0.74571926081247353</v>
      </c>
      <c r="V17" s="2">
        <f t="shared" si="4"/>
        <v>0.7457414031559223</v>
      </c>
      <c r="W17" s="2">
        <f t="shared" si="4"/>
        <v>0.74575371738604534</v>
      </c>
      <c r="X17" s="2">
        <f t="shared" si="4"/>
        <v>0.74576056599086782</v>
      </c>
      <c r="Y17" s="2">
        <f t="shared" si="4"/>
        <v>0.74576437492231062</v>
      </c>
      <c r="Z17" s="2">
        <f t="shared" si="4"/>
        <v>0.74576649332079048</v>
      </c>
      <c r="AA17" s="2">
        <f t="shared" si="4"/>
        <v>0.74576767150738277</v>
      </c>
      <c r="AB17" s="2">
        <f t="shared" si="4"/>
        <v>0.74576832677931204</v>
      </c>
      <c r="AC17" s="2">
        <f t="shared" si="4"/>
        <v>0.74576869122233935</v>
      </c>
      <c r="AD17" s="2">
        <f t="shared" si="4"/>
        <v>0.74576889391501577</v>
      </c>
      <c r="AE17" s="2">
        <f t="shared" si="4"/>
        <v>0.74576900664687074</v>
      </c>
      <c r="AF17" s="2">
        <f t="shared" si="4"/>
        <v>0.74576906934511078</v>
      </c>
      <c r="AG17" s="2">
        <f t="shared" si="4"/>
        <v>0.74576910421608689</v>
      </c>
      <c r="AH17" s="2">
        <f t="shared" si="4"/>
        <v>0.74576912361033254</v>
      </c>
      <c r="AI17" s="2">
        <f t="shared" si="4"/>
        <v>0.74576913439686099</v>
      </c>
      <c r="AJ17" s="2">
        <f t="shared" si="4"/>
        <v>0.74576914039602182</v>
      </c>
    </row>
    <row r="18" spans="2:36" x14ac:dyDescent="0.25">
      <c r="E18" s="2" t="s">
        <v>22</v>
      </c>
      <c r="F18" s="2">
        <f>F13</f>
        <v>300</v>
      </c>
      <c r="G18" s="2">
        <f>(F18*$C$16-G16)/($C$15-$C$16*F17)</f>
        <v>143.76996805111821</v>
      </c>
      <c r="H18" s="2">
        <f>(G18*$C$16-H16)/($C$15-$C$16*G17)</f>
        <v>89.440697504935798</v>
      </c>
      <c r="I18" s="2">
        <f t="shared" ref="I18:AJ18" si="5">(H18*$C$16-I16)/($C$15-$C$16*H17)</f>
        <v>61.070140670017544</v>
      </c>
      <c r="J18" s="2">
        <f t="shared" si="5"/>
        <v>43.501393604630508</v>
      </c>
      <c r="K18" s="2">
        <f t="shared" si="5"/>
        <v>31.652383297993897</v>
      </c>
      <c r="L18" s="2">
        <f t="shared" si="5"/>
        <v>23.290097501380288</v>
      </c>
      <c r="M18" s="2">
        <f t="shared" si="5"/>
        <v>17.240966301639268</v>
      </c>
      <c r="N18" s="2">
        <f t="shared" si="5"/>
        <v>12.805267519424646</v>
      </c>
      <c r="O18" s="2">
        <f t="shared" si="5"/>
        <v>9.5281303590279123</v>
      </c>
      <c r="P18" s="2">
        <f>(O18*$C$16-P16)/($C$15-$C$16*O17)</f>
        <v>7.0968402540885149</v>
      </c>
      <c r="Q18" s="2">
        <f t="shared" si="5"/>
        <v>5.2889014367742258</v>
      </c>
      <c r="R18" s="2">
        <f t="shared" si="5"/>
        <v>3.9427652453855466</v>
      </c>
      <c r="S18" s="2">
        <f t="shared" si="5"/>
        <v>2.9397566837489588</v>
      </c>
      <c r="T18" s="2">
        <f t="shared" si="5"/>
        <v>2.1921161311912551</v>
      </c>
      <c r="U18" s="2">
        <f t="shared" si="5"/>
        <v>1.6347032209670422</v>
      </c>
      <c r="V18" s="2">
        <f t="shared" si="5"/>
        <v>1.2190658737474678</v>
      </c>
      <c r="W18" s="2">
        <f t="shared" si="5"/>
        <v>0.90912290708564147</v>
      </c>
      <c r="X18" s="2">
        <f t="shared" si="5"/>
        <v>0.67798801374345108</v>
      </c>
      <c r="Y18" s="2">
        <f t="shared" si="5"/>
        <v>0.50561930727420379</v>
      </c>
      <c r="Z18" s="2">
        <f t="shared" si="5"/>
        <v>0.37707393774117021</v>
      </c>
      <c r="AA18" s="2">
        <f t="shared" si="5"/>
        <v>0.28120955253535229</v>
      </c>
      <c r="AB18" s="2">
        <f t="shared" si="5"/>
        <v>0.20971717746864871</v>
      </c>
      <c r="AC18" s="2">
        <f t="shared" si="5"/>
        <v>0.15640050496763722</v>
      </c>
      <c r="AD18" s="2">
        <f t="shared" si="5"/>
        <v>0.11663863159746472</v>
      </c>
      <c r="AE18" s="2">
        <f t="shared" si="5"/>
        <v>8.6985476423091568E-2</v>
      </c>
      <c r="AF18" s="2">
        <f t="shared" si="5"/>
        <v>6.4871077798590082E-2</v>
      </c>
      <c r="AG18" s="2">
        <f t="shared" si="5"/>
        <v>4.8378845579386605E-2</v>
      </c>
      <c r="AH18" s="2">
        <f t="shared" si="5"/>
        <v>3.6079449269018758E-2</v>
      </c>
      <c r="AI18" s="2">
        <f t="shared" si="5"/>
        <v>2.6906939650871577E-2</v>
      </c>
      <c r="AJ18" s="2">
        <f t="shared" si="5"/>
        <v>6.4833989153529767</v>
      </c>
    </row>
    <row r="20" spans="2:36" x14ac:dyDescent="0.25">
      <c r="C20" t="s">
        <v>23</v>
      </c>
      <c r="E20" s="2"/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s="2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s="2" t="s">
        <v>7</v>
      </c>
      <c r="F22" s="2">
        <f>F25/C10*C4+G22</f>
        <v>247.64422507446139</v>
      </c>
      <c r="G22" s="2">
        <v>240.97755840779473</v>
      </c>
      <c r="H22" s="2">
        <v>235.31029114824543</v>
      </c>
      <c r="I22" s="2">
        <v>229.7212091003725</v>
      </c>
      <c r="J22" s="2">
        <v>224.20867174518264</v>
      </c>
      <c r="K22" s="2">
        <v>218.77092203170392</v>
      </c>
      <c r="L22" s="2">
        <v>213.40608905190356</v>
      </c>
      <c r="M22" s="2">
        <v>208.11219088894143</v>
      </c>
      <c r="N22" s="2">
        <v>202.88713763442394</v>
      </c>
      <c r="O22" s="2">
        <v>197.72873457006492</v>
      </c>
      <c r="P22" s="2">
        <v>192.63468550891042</v>
      </c>
      <c r="Q22" s="2">
        <v>187.6025962910411</v>
      </c>
      <c r="R22" s="2">
        <v>182.62997842843041</v>
      </c>
      <c r="S22" s="2">
        <v>177.71425289341039</v>
      </c>
      <c r="T22" s="2">
        <v>172.85275404497793</v>
      </c>
      <c r="U22" s="2">
        <v>168.0427336869638</v>
      </c>
      <c r="V22" s="2">
        <v>163.28136525188734</v>
      </c>
      <c r="W22" s="2">
        <v>158.56574810412664</v>
      </c>
      <c r="X22" s="2">
        <v>153.89291195585406</v>
      </c>
      <c r="Y22" s="2">
        <v>149.25982138901384</v>
      </c>
      <c r="Z22" s="2">
        <v>144.66338047645772</v>
      </c>
      <c r="AA22" s="2">
        <v>140.10043749520338</v>
      </c>
      <c r="AB22" s="2">
        <v>135.56778972464014</v>
      </c>
      <c r="AC22" s="2">
        <v>131.06218832237701</v>
      </c>
      <c r="AD22" s="2">
        <v>126.58034327030994</v>
      </c>
      <c r="AE22" s="2">
        <v>122.11892838337812</v>
      </c>
      <c r="AF22" s="2">
        <v>117.67458637338373</v>
      </c>
      <c r="AG22" s="2">
        <v>113.24393396016569</v>
      </c>
      <c r="AH22" s="2">
        <v>108.82356702234567</v>
      </c>
      <c r="AI22" s="2">
        <v>104.41006577980471</v>
      </c>
      <c r="AJ22" s="2">
        <v>100</v>
      </c>
    </row>
    <row r="24" spans="2:36" x14ac:dyDescent="0.25">
      <c r="E24" s="2" t="s">
        <v>12</v>
      </c>
      <c r="F24" s="2"/>
      <c r="G24" s="2">
        <f>G27*H24+G28</f>
        <v>241.88137449892713</v>
      </c>
      <c r="H24" s="2">
        <f t="shared" ref="H24:AI24" si="35">H27*I24+H28</f>
        <v>236.19685465129095</v>
      </c>
      <c r="I24" s="2">
        <f t="shared" si="35"/>
        <v>230.58917030725206</v>
      </c>
      <c r="J24" s="2">
        <f t="shared" si="35"/>
        <v>225.05670926780942</v>
      </c>
      <c r="K24" s="2">
        <f t="shared" si="35"/>
        <v>219.59774481366105</v>
      </c>
      <c r="L24" s="2">
        <f t="shared" si="35"/>
        <v>214.21043833394899</v>
      </c>
      <c r="M24" s="2">
        <f t="shared" si="35"/>
        <v>208.89284212534753</v>
      </c>
      <c r="N24" s="2">
        <f t="shared" si="35"/>
        <v>203.64290235723462</v>
      </c>
      <c r="O24" s="2">
        <f t="shared" si="35"/>
        <v>198.45846219843196</v>
      </c>
      <c r="P24" s="2">
        <f t="shared" si="35"/>
        <v>193.33726510075445</v>
      </c>
      <c r="Q24" s="2">
        <f t="shared" si="35"/>
        <v>188.27695823437006</v>
      </c>
      <c r="R24" s="2">
        <f t="shared" si="35"/>
        <v>183.27509606974087</v>
      </c>
      <c r="S24" s="2">
        <f t="shared" si="35"/>
        <v>178.32914410069191</v>
      </c>
      <c r="T24" s="2">
        <f t="shared" si="35"/>
        <v>173.43648270294062</v>
      </c>
      <c r="U24" s="2">
        <f t="shared" si="35"/>
        <v>168.59441112221276</v>
      </c>
      <c r="V24" s="2">
        <f t="shared" si="35"/>
        <v>163.80015158587318</v>
      </c>
      <c r="W24" s="2">
        <f t="shared" si="35"/>
        <v>159.05085353181235</v>
      </c>
      <c r="X24" s="2">
        <f t="shared" si="35"/>
        <v>154.34359794815094</v>
      </c>
      <c r="Y24" s="2">
        <f t="shared" si="35"/>
        <v>149.67540181715526</v>
      </c>
      <c r="Z24" s="2">
        <f t="shared" si="35"/>
        <v>145.04322265659852</v>
      </c>
      <c r="AA24" s="2">
        <f t="shared" si="35"/>
        <v>140.44396315165395</v>
      </c>
      <c r="AB24" s="2">
        <f t="shared" si="35"/>
        <v>135.87447587026844</v>
      </c>
      <c r="AC24" s="2">
        <f t="shared" si="35"/>
        <v>131.33156805483736</v>
      </c>
      <c r="AD24" s="2">
        <f t="shared" si="35"/>
        <v>126.81200648288618</v>
      </c>
      <c r="AE24" s="2">
        <f t="shared" si="35"/>
        <v>122.31252238935826</v>
      </c>
      <c r="AF24" s="2">
        <f t="shared" si="35"/>
        <v>117.82981644301529</v>
      </c>
      <c r="AG24" s="2">
        <f t="shared" si="35"/>
        <v>113.3605637693737</v>
      </c>
      <c r="AH24" s="2">
        <f t="shared" si="35"/>
        <v>108.90141901253017</v>
      </c>
      <c r="AI24" s="2">
        <f t="shared" si="35"/>
        <v>104.44902142816927</v>
      </c>
      <c r="AJ24" s="2">
        <v>100</v>
      </c>
    </row>
    <row r="25" spans="2:36" x14ac:dyDescent="0.25">
      <c r="E25" s="2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78208.288181780415</v>
      </c>
      <c r="I25" s="4">
        <f t="shared" si="36"/>
        <v>77129.332260646304</v>
      </c>
      <c r="J25" s="4">
        <f t="shared" si="36"/>
        <v>76073.015501620102</v>
      </c>
      <c r="K25" s="4">
        <f t="shared" si="36"/>
        <v>75040.946046006371</v>
      </c>
      <c r="L25" s="4">
        <f t="shared" si="36"/>
        <v>74034.695121244891</v>
      </c>
      <c r="M25" s="4">
        <f t="shared" si="36"/>
        <v>73055.794648877476</v>
      </c>
      <c r="N25" s="4">
        <f t="shared" si="36"/>
        <v>72105.734912341359</v>
      </c>
      <c r="O25" s="4">
        <f t="shared" si="36"/>
        <v>71185.962288154493</v>
      </c>
      <c r="P25" s="4">
        <f t="shared" si="36"/>
        <v>70297.877043932007</v>
      </c>
      <c r="Q25" s="4">
        <f t="shared" si="36"/>
        <v>69442.831206596704</v>
      </c>
      <c r="R25" s="4">
        <f t="shared" si="36"/>
        <v>68622.126504027518</v>
      </c>
      <c r="S25" s="4">
        <f t="shared" si="36"/>
        <v>67837.012383276218</v>
      </c>
      <c r="T25" s="4">
        <f t="shared" si="36"/>
        <v>67088.684108367961</v>
      </c>
      <c r="U25" s="4">
        <f t="shared" si="36"/>
        <v>66378.280940594967</v>
      </c>
      <c r="V25" s="4">
        <f t="shared" si="36"/>
        <v>65706.884404055178</v>
      </c>
      <c r="W25" s="4">
        <f t="shared" si="36"/>
        <v>65075.516639097601</v>
      </c>
      <c r="X25" s="4">
        <f t="shared" si="36"/>
        <v>64485.138846161601</v>
      </c>
      <c r="Y25" s="4">
        <f t="shared" si="36"/>
        <v>63936.649822395084</v>
      </c>
      <c r="Z25" s="4">
        <f t="shared" si="36"/>
        <v>63430.884593274437</v>
      </c>
      <c r="AA25" s="4">
        <f t="shared" si="36"/>
        <v>62968.613141309856</v>
      </c>
      <c r="AB25" s="4">
        <f t="shared" si="36"/>
        <v>62550.539233772768</v>
      </c>
      <c r="AC25" s="4">
        <f t="shared" si="36"/>
        <v>62177.299351231115</v>
      </c>
      <c r="AD25" s="4">
        <f t="shared" si="36"/>
        <v>61849.461718525592</v>
      </c>
      <c r="AE25" s="4">
        <f t="shared" si="36"/>
        <v>61567.525439659112</v>
      </c>
      <c r="AF25" s="4">
        <f t="shared" si="36"/>
        <v>61331.91973792253</v>
      </c>
      <c r="AG25" s="4">
        <f t="shared" si="36"/>
        <v>61143.003302408964</v>
      </c>
      <c r="AH25" s="4">
        <f t="shared" si="36"/>
        <v>61001.063741916274</v>
      </c>
      <c r="AI25" s="4">
        <f t="shared" si="36"/>
        <v>60906.317147065245</v>
      </c>
      <c r="AJ25" s="4">
        <f>-$C$10*(AJ22-AI22)/$C$4</f>
        <v>60858.90776130501</v>
      </c>
    </row>
    <row r="26" spans="2:36" x14ac:dyDescent="0.25">
      <c r="E26" s="2" t="s">
        <v>20</v>
      </c>
      <c r="F26" s="2">
        <f>-($C$9*$C$8)/$C$5*F22</f>
        <v>-88854747.956716746</v>
      </c>
      <c r="G26" s="2">
        <f t="shared" ref="G26:AJ26" si="37">-($C$9*$C$8)/$C$5*G22</f>
        <v>-86462747.956716746</v>
      </c>
      <c r="H26" s="2">
        <f t="shared" si="37"/>
        <v>-84429332.463990465</v>
      </c>
      <c r="I26" s="2">
        <f t="shared" si="37"/>
        <v>-82423969.825213656</v>
      </c>
      <c r="J26" s="2">
        <f t="shared" si="37"/>
        <v>-80446071.422171533</v>
      </c>
      <c r="K26" s="2">
        <f t="shared" si="37"/>
        <v>-78495006.824975371</v>
      </c>
      <c r="L26" s="2">
        <f t="shared" si="37"/>
        <v>-76570104.751822993</v>
      </c>
      <c r="M26" s="2">
        <f t="shared" si="37"/>
        <v>-74670654.090952188</v>
      </c>
      <c r="N26" s="2">
        <f t="shared" si="37"/>
        <v>-72795904.983231306</v>
      </c>
      <c r="O26" s="2">
        <f t="shared" si="37"/>
        <v>-70945069.963739291</v>
      </c>
      <c r="P26" s="2">
        <f t="shared" si="37"/>
        <v>-69117325.160597056</v>
      </c>
      <c r="Q26" s="2">
        <f t="shared" si="37"/>
        <v>-67311811.549225539</v>
      </c>
      <c r="R26" s="2">
        <f t="shared" si="37"/>
        <v>-65527636.260120831</v>
      </c>
      <c r="S26" s="2">
        <f t="shared" si="37"/>
        <v>-63763873.938155651</v>
      </c>
      <c r="T26" s="2">
        <f t="shared" si="37"/>
        <v>-62019568.151338078</v>
      </c>
      <c r="U26" s="2">
        <f t="shared" si="37"/>
        <v>-60293732.846882612</v>
      </c>
      <c r="V26" s="2">
        <f t="shared" si="37"/>
        <v>-58585353.852377176</v>
      </c>
      <c r="W26" s="2">
        <f t="shared" si="37"/>
        <v>-56893390.419760637</v>
      </c>
      <c r="X26" s="2">
        <f t="shared" si="37"/>
        <v>-55216776.809760436</v>
      </c>
      <c r="Y26" s="2">
        <f t="shared" si="37"/>
        <v>-53554423.914378166</v>
      </c>
      <c r="Z26" s="2">
        <f t="shared" si="37"/>
        <v>-51905220.914953031</v>
      </c>
      <c r="AA26" s="2">
        <f t="shared" si="37"/>
        <v>-50268036.97327897</v>
      </c>
      <c r="AB26" s="2">
        <f t="shared" si="37"/>
        <v>-48641722.953200884</v>
      </c>
      <c r="AC26" s="2">
        <f t="shared" si="37"/>
        <v>-47025113.170068875</v>
      </c>
      <c r="AD26" s="2">
        <f t="shared" si="37"/>
        <v>-45417027.165387206</v>
      </c>
      <c r="AE26" s="2">
        <f t="shared" si="37"/>
        <v>-43816271.503956072</v>
      </c>
      <c r="AF26" s="2">
        <f t="shared" si="37"/>
        <v>-42221641.590770081</v>
      </c>
      <c r="AG26" s="2">
        <f t="shared" si="37"/>
        <v>-40631923.504907452</v>
      </c>
      <c r="AH26" s="2">
        <f t="shared" si="37"/>
        <v>-39045895.847617626</v>
      </c>
      <c r="AI26" s="2">
        <f t="shared" si="37"/>
        <v>-37462331.60179393</v>
      </c>
      <c r="AJ26" s="2">
        <f t="shared" si="37"/>
        <v>-35880000</v>
      </c>
    </row>
    <row r="27" spans="2:36" x14ac:dyDescent="0.25">
      <c r="E27" s="2" t="s">
        <v>21</v>
      </c>
      <c r="F27" s="2">
        <v>0</v>
      </c>
      <c r="G27" s="2">
        <f>$C$14/($C$15-$C$16*F27)</f>
        <v>0.47923322683706071</v>
      </c>
      <c r="H27" s="2">
        <f t="shared" ref="H27" si="38">$C$14/($C$15-$C$16*G27)</f>
        <v>0.62210974042322009</v>
      </c>
      <c r="I27" s="2">
        <f t="shared" ref="I27" si="39">$C$14/($C$15-$C$16*H27)</f>
        <v>0.68280036240378583</v>
      </c>
      <c r="J27" s="2">
        <f t="shared" ref="J27" si="40">$C$14/($C$15-$C$16*I27)</f>
        <v>0.71231854270130357</v>
      </c>
      <c r="K27" s="2">
        <f t="shared" ref="K27" si="41">$C$14/($C$15-$C$16*J27)</f>
        <v>0.72761768474986643</v>
      </c>
      <c r="L27" s="2">
        <f t="shared" ref="L27" si="42">$C$14/($C$15-$C$16*K27)</f>
        <v>0.73580865245165905</v>
      </c>
      <c r="M27" s="2">
        <f t="shared" ref="M27" si="43">$C$14/($C$15-$C$16*L27)</f>
        <v>0.74027025007591674</v>
      </c>
      <c r="N27" s="2">
        <f t="shared" ref="N27" si="44">$C$14/($C$15-$C$16*M27)</f>
        <v>0.74272330769575978</v>
      </c>
      <c r="O27" s="2">
        <f t="shared" ref="O27" si="45">$C$14/($C$15-$C$16*N27)</f>
        <v>0.7440789772313966</v>
      </c>
      <c r="P27" s="2">
        <f t="shared" ref="P27" si="46">$C$14/($C$15-$C$16*O27)</f>
        <v>0.74483030633226499</v>
      </c>
      <c r="Q27" s="2">
        <f t="shared" ref="Q27" si="47">$C$14/($C$15-$C$16*P27)</f>
        <v>0.74524735620578053</v>
      </c>
      <c r="R27" s="2">
        <f t="shared" ref="R27" si="48">$C$14/($C$15-$C$16*Q27)</f>
        <v>0.74547905505879375</v>
      </c>
      <c r="S27" s="2">
        <f t="shared" ref="S27" si="49">$C$14/($C$15-$C$16*R27)</f>
        <v>0.74560784139748904</v>
      </c>
      <c r="T27" s="2">
        <f t="shared" ref="T27" si="50">$C$14/($C$15-$C$16*S27)</f>
        <v>0.74567944459802482</v>
      </c>
      <c r="U27" s="2">
        <f t="shared" ref="U27" si="51">$C$14/($C$15-$C$16*T27)</f>
        <v>0.74571926081247353</v>
      </c>
      <c r="V27" s="2">
        <f t="shared" ref="V27" si="52">$C$14/($C$15-$C$16*U27)</f>
        <v>0.7457414031559223</v>
      </c>
      <c r="W27" s="2">
        <f t="shared" ref="W27" si="53">$C$14/($C$15-$C$16*V27)</f>
        <v>0.74575371738604534</v>
      </c>
      <c r="X27" s="2">
        <f t="shared" ref="X27" si="54">$C$14/($C$15-$C$16*W27)</f>
        <v>0.74576056599086782</v>
      </c>
      <c r="Y27" s="2">
        <f t="shared" ref="Y27" si="55">$C$14/($C$15-$C$16*X27)</f>
        <v>0.74576437492231062</v>
      </c>
      <c r="Z27" s="2">
        <f t="shared" ref="Z27" si="56">$C$14/($C$15-$C$16*Y27)</f>
        <v>0.74576649332079048</v>
      </c>
      <c r="AA27" s="2">
        <f t="shared" ref="AA27" si="57">$C$14/($C$15-$C$16*Z27)</f>
        <v>0.74576767150738277</v>
      </c>
      <c r="AB27" s="2">
        <f t="shared" ref="AB27" si="58">$C$14/($C$15-$C$16*AA27)</f>
        <v>0.74576832677931204</v>
      </c>
      <c r="AC27" s="2">
        <f t="shared" ref="AC27" si="59">$C$14/($C$15-$C$16*AB27)</f>
        <v>0.74576869122233935</v>
      </c>
      <c r="AD27" s="2">
        <f t="shared" ref="AD27" si="60">$C$14/($C$15-$C$16*AC27)</f>
        <v>0.74576889391501577</v>
      </c>
      <c r="AE27" s="2">
        <f t="shared" ref="AE27" si="61">$C$14/($C$15-$C$16*AD27)</f>
        <v>0.74576900664687074</v>
      </c>
      <c r="AF27" s="2">
        <f t="shared" ref="AF27" si="62">$C$14/($C$15-$C$16*AE27)</f>
        <v>0.74576906934511078</v>
      </c>
      <c r="AG27" s="2">
        <f t="shared" ref="AG27" si="63">$C$14/($C$15-$C$16*AF27)</f>
        <v>0.74576910421608689</v>
      </c>
      <c r="AH27" s="2">
        <f t="shared" ref="AH27" si="64">$C$14/($C$15-$C$16*AG27)</f>
        <v>0.74576912361033254</v>
      </c>
      <c r="AI27" s="2">
        <f t="shared" ref="AI27" si="65">$C$14/($C$15-$C$16*AH27)</f>
        <v>0.74576913439686099</v>
      </c>
      <c r="AJ27" s="2">
        <f t="shared" ref="AJ27" si="66">$C$14/($C$15-$C$16*AI27)</f>
        <v>0.74576914039602182</v>
      </c>
    </row>
    <row r="28" spans="2:36" x14ac:dyDescent="0.25">
      <c r="E28" s="2" t="s">
        <v>22</v>
      </c>
      <c r="F28" s="2">
        <f>F22</f>
        <v>247.64422507446139</v>
      </c>
      <c r="G28" s="2">
        <f>(F28*$C$16-G26)/($C$15-$C$16*F27)</f>
        <v>128.68799367562474</v>
      </c>
      <c r="H28" s="2">
        <f>(G28*$C$16-H26)/($C$15-$C$16*G27)</f>
        <v>92.745085767040678</v>
      </c>
      <c r="I28" s="2">
        <f t="shared" ref="I28" si="67">(H28*$C$16-I26)/($C$15-$C$16*H27)</f>
        <v>76.920367657788333</v>
      </c>
      <c r="J28" s="2">
        <f t="shared" ref="J28" si="68">(I28*$C$16-J26)/($C$15-$C$16*I27)</f>
        <v>68.633163701649636</v>
      </c>
      <c r="K28" s="2">
        <f t="shared" ref="K28" si="69">(J28*$C$16-K26)/($C$15-$C$16*J27)</f>
        <v>63.734441623859055</v>
      </c>
      <c r="L28" s="2">
        <f t="shared" ref="L28" si="70">(K28*$C$16-L26)/($C$15-$C$16*K27)</f>
        <v>60.505277662899857</v>
      </c>
      <c r="M28" s="2">
        <f t="shared" ref="M28" si="71">(L28*$C$16-M26)/($C$15-$C$16*L27)</f>
        <v>58.142059871171966</v>
      </c>
      <c r="N28" s="2">
        <f t="shared" ref="N28" si="72">(M28*$C$16-N26)/($C$15-$C$16*M27)</f>
        <v>56.24317687300131</v>
      </c>
      <c r="O28" s="2">
        <f t="shared" ref="O28" si="73">(N28*$C$16-O26)/($C$15-$C$16*N27)</f>
        <v>54.600267721547205</v>
      </c>
      <c r="P28" s="2">
        <f t="shared" ref="P28" si="74">(O28*$C$16-P26)/($C$15-$C$16*O27)</f>
        <v>53.102880623741541</v>
      </c>
      <c r="Q28" s="2">
        <f t="shared" ref="Q28" si="75">(P28*$C$16-Q26)/($C$15-$C$16*P27)</f>
        <v>51.691677430035242</v>
      </c>
      <c r="R28" s="2">
        <f t="shared" ref="R28" si="76">(Q28*$C$16-R26)/($C$15-$C$16*Q27)</f>
        <v>50.334454236113615</v>
      </c>
      <c r="S28" s="2">
        <f t="shared" ref="S28" si="77">(R28*$C$16-S26)/($C$15-$C$16*R27)</f>
        <v>49.013542612979379</v>
      </c>
      <c r="T28" s="2">
        <f t="shared" ref="T28" si="78">(S28*$C$16-T26)/($C$15-$C$16*S27)</f>
        <v>47.719095854997931</v>
      </c>
      <c r="U28" s="2">
        <f t="shared" ref="U28" si="79">(T28*$C$16-U26)/($C$15-$C$16*T27)</f>
        <v>46.445483160624299</v>
      </c>
      <c r="V28" s="2">
        <f t="shared" ref="V28" si="80">(U28*$C$16-V26)/($C$15-$C$16*U27)</f>
        <v>45.189344899912349</v>
      </c>
      <c r="W28" s="2">
        <f t="shared" ref="W28" si="81">(V28*$C$16-W26)/($C$15-$C$16*V27)</f>
        <v>43.94854160724158</v>
      </c>
      <c r="X28" s="2">
        <f t="shared" ref="X28" si="82">(W28*$C$16-X26)/($C$15-$C$16*W27)</f>
        <v>42.721585574078667</v>
      </c>
      <c r="Y28" s="2">
        <f t="shared" ref="Y28" si="83">(X28*$C$16-Y26)/($C$15-$C$16*X27)</f>
        <v>41.507333535939566</v>
      </c>
      <c r="Z28" s="2">
        <f t="shared" ref="Z28" si="84">(Y28*$C$16-Z26)/($C$15-$C$16*Y27)</f>
        <v>40.304820748915226</v>
      </c>
      <c r="AA28" s="2">
        <f t="shared" ref="AA28" si="85">(Z28*$C$16-AA26)/($C$15-$C$16*Z27)</f>
        <v>39.113171664597793</v>
      </c>
      <c r="AB28" s="2">
        <f t="shared" ref="AB28" si="86">(AA28*$C$16-AB26)/($C$15-$C$16*AA27)</f>
        <v>37.93155210870902</v>
      </c>
      <c r="AC28" s="2">
        <f t="shared" ref="AC28" si="87">(AB28*$C$16-AC26)/($C$15-$C$16*AB27)</f>
        <v>36.759143948816515</v>
      </c>
      <c r="AD28" s="2">
        <f t="shared" ref="AD28" si="88">(AC28*$C$16-AD26)/($C$15-$C$16*AC27)</f>
        <v>35.59513194861885</v>
      </c>
      <c r="AE28" s="2">
        <f t="shared" ref="AE28" si="89">(AD28*$C$16-AE26)/($C$15-$C$16*AD27)</f>
        <v>34.438697227267639</v>
      </c>
      <c r="AF28" s="2">
        <f t="shared" ref="AF28" si="90">(AE28*$C$16-AF26)/($C$15-$C$16*AE27)</f>
        <v>33.289014300292372</v>
      </c>
      <c r="AG28" s="2">
        <f t="shared" ref="AG28" si="91">(AF28*$C$16-AG26)/($C$15-$C$16*AF27)</f>
        <v>32.145250064538352</v>
      </c>
      <c r="AH28" s="2">
        <f t="shared" ref="AH28" si="92">(AG28*$C$16-AH26)/($C$15-$C$16*AG27)</f>
        <v>31.006563840087516</v>
      </c>
      <c r="AI28" s="2">
        <f t="shared" ref="AI28" si="93">(AH28*$C$16-AI26)/($C$15-$C$16*AH27)</f>
        <v>29.872107988483183</v>
      </c>
      <c r="AJ28" s="2">
        <f t="shared" ref="AJ28" si="94">(AI28*$C$16-AJ26)/($C$15-$C$16*AI27)</f>
        <v>28.741028846487097</v>
      </c>
    </row>
    <row r="33" spans="2:36" x14ac:dyDescent="0.25">
      <c r="E33" s="2"/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s="2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s="2" t="s">
        <v>7</v>
      </c>
      <c r="F35" s="2">
        <f>($C$37*$C$4*$C$36+$C$10*$G$35)/($C$10+$C$37*$C$4)</f>
        <v>299.99985163261891</v>
      </c>
      <c r="G35" s="2">
        <v>293.3331742146928</v>
      </c>
      <c r="H35" s="2">
        <v>286.66649776466045</v>
      </c>
      <c r="I35" s="2">
        <v>279.99982234203355</v>
      </c>
      <c r="J35" s="2">
        <v>273.33314800007156</v>
      </c>
      <c r="K35" s="2">
        <v>266.66647478546452</v>
      </c>
      <c r="L35" s="2">
        <v>259.99980273803936</v>
      </c>
      <c r="M35" s="2">
        <v>253.33313189053024</v>
      </c>
      <c r="N35" s="2">
        <v>246.66646226836411</v>
      </c>
      <c r="O35" s="2">
        <v>239.99979388952389</v>
      </c>
      <c r="P35" s="2">
        <v>233.33312676441892</v>
      </c>
      <c r="Q35" s="2">
        <v>226.66646089584373</v>
      </c>
      <c r="R35" s="2">
        <v>219.9997962789374</v>
      </c>
      <c r="S35" s="2">
        <v>213.33313290123812</v>
      </c>
      <c r="T35" s="2">
        <v>206.66647074273277</v>
      </c>
      <c r="U35" s="2">
        <v>199.99980977600597</v>
      </c>
      <c r="V35" s="2">
        <v>193.33314996637864</v>
      </c>
      <c r="W35" s="2">
        <v>186.66649127214777</v>
      </c>
      <c r="X35" s="2">
        <v>179.99983364481102</v>
      </c>
      <c r="Y35" s="2">
        <v>173.33317702939058</v>
      </c>
      <c r="Z35" s="2">
        <v>166.66652136473954</v>
      </c>
      <c r="AA35" s="2">
        <v>159.99986658394076</v>
      </c>
      <c r="AB35" s="2">
        <v>153.33321261468828</v>
      </c>
      <c r="AC35" s="2">
        <v>146.66655937975133</v>
      </c>
      <c r="AD35" s="2">
        <v>139.99990679742166</v>
      </c>
      <c r="AE35" s="2">
        <v>133.33325478203096</v>
      </c>
      <c r="AF35" s="2">
        <v>126.66660324445392</v>
      </c>
      <c r="AG35" s="2">
        <v>119.99995209266579</v>
      </c>
      <c r="AH35" s="2">
        <v>113.33330123228947</v>
      </c>
      <c r="AI35" s="2">
        <v>106.66665056717957</v>
      </c>
      <c r="AJ35" s="2">
        <v>100</v>
      </c>
    </row>
    <row r="36" spans="2:36" x14ac:dyDescent="0.25">
      <c r="B36" t="s">
        <v>14</v>
      </c>
      <c r="C36">
        <v>392</v>
      </c>
    </row>
    <row r="37" spans="2:36" x14ac:dyDescent="0.25">
      <c r="B37" t="s">
        <v>15</v>
      </c>
      <c r="C37">
        <v>1000</v>
      </c>
      <c r="E37" s="2" t="s">
        <v>12</v>
      </c>
      <c r="F37" s="2"/>
      <c r="G37" s="2">
        <f>G35+(($C$10*$C$5)/($C$9*$C$8))*((H35-2*G35+F35)/($C$4^2))</f>
        <v>293.33318538269765</v>
      </c>
      <c r="H37" s="2">
        <f t="shared" ref="H37:AI37" si="124">H35+(($C$10*$C$5)/($C$9*$C$8))*((I35-2*H35+G35)/($C$4^2))</f>
        <v>286.66650961933885</v>
      </c>
      <c r="I37" s="2">
        <f t="shared" si="124"/>
        <v>279.99983481124394</v>
      </c>
      <c r="J37" s="2">
        <f t="shared" si="124"/>
        <v>273.33316100801329</v>
      </c>
      <c r="K37" s="2">
        <f t="shared" si="124"/>
        <v>266.66648825294789</v>
      </c>
      <c r="L37" s="2">
        <f t="shared" si="124"/>
        <v>259.99981658322429</v>
      </c>
      <c r="M37" s="2">
        <f t="shared" si="124"/>
        <v>253.33314602910329</v>
      </c>
      <c r="N37" s="2">
        <f t="shared" si="124"/>
        <v>246.66647661443216</v>
      </c>
      <c r="O37" s="2">
        <f t="shared" si="124"/>
        <v>239.9998083557</v>
      </c>
      <c r="P37" s="2">
        <f t="shared" si="124"/>
        <v>233.33314126283935</v>
      </c>
      <c r="Q37" s="2">
        <f t="shared" si="124"/>
        <v>226.66647533817675</v>
      </c>
      <c r="R37" s="2">
        <f t="shared" si="124"/>
        <v>219.9998105774803</v>
      </c>
      <c r="S37" s="2">
        <f t="shared" si="124"/>
        <v>213.33314696886043</v>
      </c>
      <c r="T37" s="2">
        <f t="shared" si="124"/>
        <v>206.66648449402373</v>
      </c>
      <c r="U37" s="2">
        <f t="shared" si="124"/>
        <v>199.9998231271536</v>
      </c>
      <c r="V37" s="2">
        <f t="shared" si="124"/>
        <v>193.33316283633778</v>
      </c>
      <c r="W37" s="2">
        <f t="shared" si="124"/>
        <v>186.66650358246463</v>
      </c>
      <c r="X37" s="2">
        <f t="shared" si="124"/>
        <v>179.99984532076846</v>
      </c>
      <c r="Y37" s="2">
        <f t="shared" si="124"/>
        <v>173.33318799980663</v>
      </c>
      <c r="Z37" s="2">
        <f t="shared" si="124"/>
        <v>166.66653156303491</v>
      </c>
      <c r="AA37" s="2">
        <f t="shared" si="124"/>
        <v>159.99987594793654</v>
      </c>
      <c r="AB37" s="2">
        <f t="shared" si="124"/>
        <v>153.33322108755982</v>
      </c>
      <c r="AC37" s="2">
        <f t="shared" si="124"/>
        <v>146.66656690983521</v>
      </c>
      <c r="AD37" s="2">
        <f t="shared" si="124"/>
        <v>139.99991333902526</v>
      </c>
      <c r="AE37" s="2">
        <f t="shared" si="124"/>
        <v>133.33326029526563</v>
      </c>
      <c r="AF37" s="2">
        <f t="shared" si="124"/>
        <v>126.66660769586424</v>
      </c>
      <c r="AG37" s="2">
        <f t="shared" si="124"/>
        <v>119.99995545510974</v>
      </c>
      <c r="AH37" s="2">
        <f t="shared" si="124"/>
        <v>113.33330348536359</v>
      </c>
      <c r="AI37" s="2">
        <f t="shared" si="124"/>
        <v>106.66665169714486</v>
      </c>
    </row>
    <row r="38" spans="2:36" x14ac:dyDescent="0.25">
      <c r="E38" s="2" t="s">
        <v>13</v>
      </c>
      <c r="F38" s="2">
        <v>92000</v>
      </c>
      <c r="G38" s="32">
        <f>-$C$10*(G35-F35)/$C$4</f>
        <v>92000.148367380301</v>
      </c>
      <c r="H38" s="32">
        <f t="shared" ref="H38:AI38" si="125">-$C$10*(H35-G35)/$C$4</f>
        <v>92000.135010446495</v>
      </c>
      <c r="I38" s="32">
        <f t="shared" si="125"/>
        <v>92000.120832251137</v>
      </c>
      <c r="J38" s="32">
        <f t="shared" si="125"/>
        <v>92000.105919075504</v>
      </c>
      <c r="K38" s="32">
        <f t="shared" si="125"/>
        <v>92000.090361577211</v>
      </c>
      <c r="L38" s="32">
        <f t="shared" si="125"/>
        <v>92000.074254467094</v>
      </c>
      <c r="M38" s="32">
        <f t="shared" si="125"/>
        <v>92000.057695625903</v>
      </c>
      <c r="N38" s="32">
        <f t="shared" si="125"/>
        <v>92000.040785892532</v>
      </c>
      <c r="O38" s="32">
        <f t="shared" si="125"/>
        <v>92000.023627995135</v>
      </c>
      <c r="P38" s="32">
        <f t="shared" si="125"/>
        <v>92000.006326448507</v>
      </c>
      <c r="Q38" s="32">
        <f t="shared" si="125"/>
        <v>91999.988986337674</v>
      </c>
      <c r="R38" s="32">
        <f t="shared" si="125"/>
        <v>91999.971713307372</v>
      </c>
      <c r="S38" s="32">
        <f t="shared" si="125"/>
        <v>91999.954612250047</v>
      </c>
      <c r="T38" s="32">
        <f t="shared" si="125"/>
        <v>91999.937787373769</v>
      </c>
      <c r="U38" s="32">
        <f t="shared" si="125"/>
        <v>91999.921340829766</v>
      </c>
      <c r="V38" s="32">
        <f t="shared" si="125"/>
        <v>91999.905372857189</v>
      </c>
      <c r="W38" s="32">
        <f t="shared" si="125"/>
        <v>91999.88998038607</v>
      </c>
      <c r="X38" s="32">
        <f t="shared" si="125"/>
        <v>91999.875257247098</v>
      </c>
      <c r="Y38" s="32">
        <f t="shared" si="125"/>
        <v>91999.861292802016</v>
      </c>
      <c r="Z38" s="32">
        <f t="shared" si="125"/>
        <v>91999.848172184429</v>
      </c>
      <c r="AA38" s="32">
        <f t="shared" si="125"/>
        <v>91999.835975023161</v>
      </c>
      <c r="AB38" s="32">
        <f t="shared" si="125"/>
        <v>91999.824775684203</v>
      </c>
      <c r="AC38" s="32">
        <f t="shared" si="125"/>
        <v>91999.81464212983</v>
      </c>
      <c r="AD38" s="32">
        <f t="shared" si="125"/>
        <v>91999.805636149511</v>
      </c>
      <c r="AE38" s="32">
        <f t="shared" si="125"/>
        <v>91999.797812391596</v>
      </c>
      <c r="AF38" s="32">
        <f t="shared" si="125"/>
        <v>91999.791218563143</v>
      </c>
      <c r="AG38" s="32">
        <f t="shared" si="125"/>
        <v>91999.785894676199</v>
      </c>
      <c r="AH38" s="32">
        <f t="shared" si="125"/>
        <v>91999.781873193249</v>
      </c>
      <c r="AI38" s="32">
        <f t="shared" si="125"/>
        <v>91999.77917851659</v>
      </c>
    </row>
  </sheetData>
  <conditionalFormatting sqref="F35:AJ3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22:AJ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13:AJ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AN20:BR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2Д Неявный</vt:lpstr>
      <vt:lpstr>Неявный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Admin</cp:lastModifiedBy>
  <dcterms:created xsi:type="dcterms:W3CDTF">2021-02-19T10:02:37Z</dcterms:created>
  <dcterms:modified xsi:type="dcterms:W3CDTF">2021-04-07T16:54:13Z</dcterms:modified>
</cp:coreProperties>
</file>