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120" yWindow="105" windowWidth="15120" windowHeight="8010" activeTab="1"/>
  </bookViews>
  <sheets>
    <sheet name="Лист2" sheetId="2" r:id="rId1"/>
    <sheet name="Лист3" sheetId="3" r:id="rId2"/>
  </sheets>
  <calcPr calcId="145621"/>
</workbook>
</file>

<file path=xl/calcChain.xml><?xml version="1.0" encoding="utf-8"?>
<calcChain xmlns="http://schemas.openxmlformats.org/spreadsheetml/2006/main">
  <c r="F18" i="3" l="1"/>
  <c r="AJ17" i="3"/>
  <c r="K18" i="3"/>
  <c r="O18" i="3"/>
  <c r="S18" i="3"/>
  <c r="W18" i="3"/>
  <c r="AA18" i="3"/>
  <c r="AE18" i="3"/>
  <c r="AI18" i="3"/>
  <c r="G13" i="3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C4" i="3"/>
  <c r="J18" i="3" s="1"/>
  <c r="H17" i="2"/>
  <c r="J17" i="2"/>
  <c r="L17" i="2"/>
  <c r="N17" i="2"/>
  <c r="P17" i="2"/>
  <c r="R17" i="2"/>
  <c r="T17" i="2"/>
  <c r="V17" i="2"/>
  <c r="X17" i="2"/>
  <c r="Z17" i="2"/>
  <c r="AB17" i="2"/>
  <c r="AD17" i="2"/>
  <c r="AF17" i="2"/>
  <c r="AH17" i="2"/>
  <c r="Q18" i="2"/>
  <c r="Y18" i="2"/>
  <c r="AG18" i="2"/>
  <c r="F18" i="2"/>
  <c r="F14" i="2" s="1"/>
  <c r="G17" i="2" s="1"/>
  <c r="G13" i="2"/>
  <c r="H13" i="2" s="1"/>
  <c r="I13" i="2" s="1"/>
  <c r="J13" i="2" s="1"/>
  <c r="K13" i="2" s="1"/>
  <c r="L13" i="2" s="1"/>
  <c r="M13" i="2" s="1"/>
  <c r="N13" i="2" s="1"/>
  <c r="O13" i="2" s="1"/>
  <c r="P13" i="2" s="1"/>
  <c r="Q13" i="2" s="1"/>
  <c r="R13" i="2" s="1"/>
  <c r="S13" i="2" s="1"/>
  <c r="T13" i="2" s="1"/>
  <c r="U13" i="2" s="1"/>
  <c r="V13" i="2" s="1"/>
  <c r="W13" i="2" s="1"/>
  <c r="X13" i="2" s="1"/>
  <c r="Y13" i="2" s="1"/>
  <c r="Z13" i="2" s="1"/>
  <c r="AA13" i="2" s="1"/>
  <c r="AB13" i="2" s="1"/>
  <c r="AC13" i="2" s="1"/>
  <c r="AD13" i="2" s="1"/>
  <c r="AE13" i="2" s="1"/>
  <c r="AF13" i="2" s="1"/>
  <c r="AG13" i="2" s="1"/>
  <c r="AH13" i="2" s="1"/>
  <c r="AI13" i="2" s="1"/>
  <c r="AJ13" i="2" s="1"/>
  <c r="C4" i="2"/>
  <c r="B18" i="2" s="1"/>
  <c r="AG18" i="3" l="1"/>
  <c r="AC18" i="3"/>
  <c r="Y18" i="3"/>
  <c r="U18" i="3"/>
  <c r="Q18" i="3"/>
  <c r="M18" i="3"/>
  <c r="I18" i="3"/>
  <c r="U18" i="2"/>
  <c r="AG17" i="2"/>
  <c r="AC17" i="2"/>
  <c r="Y17" i="2"/>
  <c r="U17" i="2"/>
  <c r="Q17" i="2"/>
  <c r="M17" i="2"/>
  <c r="I17" i="2"/>
  <c r="AJ18" i="3"/>
  <c r="AF18" i="3"/>
  <c r="AB18" i="3"/>
  <c r="X18" i="3"/>
  <c r="T18" i="3"/>
  <c r="P18" i="3"/>
  <c r="L18" i="3"/>
  <c r="H18" i="3"/>
  <c r="AC18" i="2"/>
  <c r="M18" i="2"/>
  <c r="AE17" i="2"/>
  <c r="AA17" i="2"/>
  <c r="W17" i="2"/>
  <c r="S17" i="2"/>
  <c r="O17" i="2"/>
  <c r="K17" i="2"/>
  <c r="AH18" i="3"/>
  <c r="AD18" i="3"/>
  <c r="Z18" i="3"/>
  <c r="V18" i="3"/>
  <c r="R18" i="3"/>
  <c r="N18" i="3"/>
  <c r="F14" i="3"/>
  <c r="B18" i="3"/>
  <c r="AI17" i="2"/>
  <c r="G18" i="2"/>
  <c r="AF18" i="2"/>
  <c r="AB18" i="2"/>
  <c r="X18" i="2"/>
  <c r="T18" i="2"/>
  <c r="P18" i="2"/>
  <c r="L18" i="2"/>
  <c r="H18" i="2"/>
  <c r="I18" i="2"/>
  <c r="AH18" i="2"/>
  <c r="AD18" i="2"/>
  <c r="Z18" i="2"/>
  <c r="V18" i="2"/>
  <c r="R18" i="2"/>
  <c r="N18" i="2"/>
  <c r="J18" i="2"/>
  <c r="AI18" i="2"/>
  <c r="AE18" i="2"/>
  <c r="AA18" i="2"/>
  <c r="W18" i="2"/>
  <c r="S18" i="2"/>
  <c r="O18" i="2"/>
  <c r="K18" i="2"/>
  <c r="G17" i="3" l="1"/>
  <c r="Z17" i="3"/>
  <c r="AE17" i="3"/>
  <c r="AG17" i="3"/>
  <c r="H17" i="3"/>
  <c r="I17" i="3"/>
  <c r="T17" i="3"/>
  <c r="N17" i="3"/>
  <c r="W17" i="3"/>
  <c r="AI17" i="3"/>
  <c r="M17" i="3"/>
  <c r="AF17" i="3"/>
  <c r="AA17" i="3"/>
  <c r="R17" i="3"/>
  <c r="AD17" i="3"/>
  <c r="J17" i="3"/>
  <c r="Q17" i="3"/>
  <c r="Y17" i="3"/>
  <c r="AH17" i="3"/>
  <c r="AB17" i="3"/>
  <c r="K17" i="3"/>
  <c r="AC17" i="3"/>
  <c r="O17" i="3"/>
  <c r="V17" i="3"/>
  <c r="X17" i="3"/>
  <c r="P17" i="3"/>
  <c r="L17" i="3"/>
  <c r="S17" i="3"/>
  <c r="U17" i="3"/>
  <c r="G18" i="3" l="1"/>
</calcChain>
</file>

<file path=xl/sharedStrings.xml><?xml version="1.0" encoding="utf-8"?>
<sst xmlns="http://schemas.openxmlformats.org/spreadsheetml/2006/main" count="27" uniqueCount="15">
  <si>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</si>
  <si>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</si>
  <si>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</si>
  <si>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</si>
  <si>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</si>
  <si>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</si>
  <si>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</si>
  <si>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</si>
  <si>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</si>
  <si>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</si>
  <si>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q</t>
  </si>
  <si>
    <t>alfa</t>
  </si>
  <si>
    <t>a(T_w-T_gas)</t>
  </si>
  <si>
    <t>Q_s</t>
  </si>
  <si>
    <t>T_e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</si>
</sst>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571062992125984"/>
          <c:y val="0.18115420948965752"/>
          <c:w val="0.74167125984251991"/>
          <c:h val="0.688805039619327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Лист2!$E$14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Лист2!$F$13:$AJ$13</c:f>
              <c:numCache>
                <c:formatCode>0.00</c:formatCode>
                <c:ptCount val="31"/>
                <c:pt idx="0" formatCode="General">
                  <c:v>0</c:v>
                </c:pt>
                <c:pt idx="1">
                  <c:v>0.433</c:v>
                </c:pt>
                <c:pt idx="2">
                  <c:v>0.86599999999999999</c:v>
                </c:pt>
                <c:pt idx="3">
                  <c:v>1.2989999999999999</c:v>
                </c:pt>
                <c:pt idx="4">
                  <c:v>1.732</c:v>
                </c:pt>
                <c:pt idx="5">
                  <c:v>2.165</c:v>
                </c:pt>
                <c:pt idx="6">
                  <c:v>2.5979999999999999</c:v>
                </c:pt>
                <c:pt idx="7">
                  <c:v>3.0309999999999997</c:v>
                </c:pt>
                <c:pt idx="8">
                  <c:v>3.4639999999999995</c:v>
                </c:pt>
                <c:pt idx="9">
                  <c:v>3.8969999999999994</c:v>
                </c:pt>
                <c:pt idx="10">
                  <c:v>4.3299999999999992</c:v>
                </c:pt>
                <c:pt idx="11">
                  <c:v>4.762999999999999</c:v>
                </c:pt>
                <c:pt idx="12">
                  <c:v>5.1959999999999988</c:v>
                </c:pt>
                <c:pt idx="13">
                  <c:v>5.6289999999999987</c:v>
                </c:pt>
                <c:pt idx="14">
                  <c:v>6.0619999999999985</c:v>
                </c:pt>
                <c:pt idx="15">
                  <c:v>6.4949999999999983</c:v>
                </c:pt>
                <c:pt idx="16">
                  <c:v>6.9279999999999982</c:v>
                </c:pt>
                <c:pt idx="17">
                  <c:v>7.360999999999998</c:v>
                </c:pt>
                <c:pt idx="18">
                  <c:v>7.7939999999999978</c:v>
                </c:pt>
                <c:pt idx="19">
                  <c:v>8.2269999999999985</c:v>
                </c:pt>
                <c:pt idx="20">
                  <c:v>8.6599999999999984</c:v>
                </c:pt>
                <c:pt idx="21">
                  <c:v>9.0929999999999982</c:v>
                </c:pt>
                <c:pt idx="22">
                  <c:v>9.525999999999998</c:v>
                </c:pt>
                <c:pt idx="23">
                  <c:v>9.9589999999999979</c:v>
                </c:pt>
                <c:pt idx="24">
                  <c:v>10.391999999999998</c:v>
                </c:pt>
                <c:pt idx="25">
                  <c:v>10.824999999999998</c:v>
                </c:pt>
                <c:pt idx="26">
                  <c:v>11.257999999999997</c:v>
                </c:pt>
                <c:pt idx="27">
                  <c:v>11.690999999999997</c:v>
                </c:pt>
                <c:pt idx="28">
                  <c:v>12.123999999999997</c:v>
                </c:pt>
                <c:pt idx="29">
                  <c:v>12.556999999999997</c:v>
                </c:pt>
                <c:pt idx="30" formatCode="General">
                  <c:v>12.989999999999997</c:v>
                </c:pt>
              </c:numCache>
            </c:numRef>
          </c:xVal>
          <c:yVal>
            <c:numRef>
              <c:f>Лист2!$F$14:$AJ$14</c:f>
              <c:numCache>
                <c:formatCode>General</c:formatCode>
                <c:ptCount val="31"/>
                <c:pt idx="0">
                  <c:v>299.99997763459675</c:v>
                </c:pt>
                <c:pt idx="1">
                  <c:v>293.33331096793006</c:v>
                </c:pt>
                <c:pt idx="2">
                  <c:v>286.66664436466061</c:v>
                </c:pt>
                <c:pt idx="3">
                  <c:v>279.99997782460849</c:v>
                </c:pt>
                <c:pt idx="4">
                  <c:v>273.33331134741508</c:v>
                </c:pt>
                <c:pt idx="5">
                  <c:v>266.66664493254297</c:v>
                </c:pt>
                <c:pt idx="6">
                  <c:v>259.99997857927877</c:v>
                </c:pt>
                <c:pt idx="7">
                  <c:v>253.33331228673376</c:v>
                </c:pt>
                <c:pt idx="8">
                  <c:v>246.66664605384776</c:v>
                </c:pt>
                <c:pt idx="9">
                  <c:v>239.99997987939091</c:v>
                </c:pt>
                <c:pt idx="10">
                  <c:v>233.33331376196827</c:v>
                </c:pt>
                <c:pt idx="11">
                  <c:v>226.66664770002262</c:v>
                </c:pt>
                <c:pt idx="12">
                  <c:v>219.99998169184016</c:v>
                </c:pt>
                <c:pt idx="13">
                  <c:v>213.33331573555401</c:v>
                </c:pt>
                <c:pt idx="14">
                  <c:v>206.66664982915083</c:v>
                </c:pt>
                <c:pt idx="15">
                  <c:v>199.99998397047526</c:v>
                </c:pt>
                <c:pt idx="16">
                  <c:v>193.33331815723727</c:v>
                </c:pt>
                <c:pt idx="17">
                  <c:v>186.66665238701742</c:v>
                </c:pt>
                <c:pt idx="18">
                  <c:v>179.99998665727495</c:v>
                </c:pt>
                <c:pt idx="19">
                  <c:v>173.33332096535372</c:v>
                </c:pt>
                <c:pt idx="20">
                  <c:v>166.66665530849104</c:v>
                </c:pt>
                <c:pt idx="21">
                  <c:v>159.9999896838242</c:v>
                </c:pt>
                <c:pt idx="22">
                  <c:v>153.33332408839982</c:v>
                </c:pt>
                <c:pt idx="23">
                  <c:v>146.66665851918108</c:v>
                </c:pt>
                <c:pt idx="24">
                  <c:v>139.99999297305737</c:v>
                </c:pt>
                <c:pt idx="25">
                  <c:v>133.33332744685219</c:v>
                </c:pt>
                <c:pt idx="26">
                  <c:v>126.666661937333</c:v>
                </c:pt>
                <c:pt idx="27">
                  <c:v>119.99999644121954</c:v>
                </c:pt>
                <c:pt idx="28">
                  <c:v>113.33333095519386</c:v>
                </c:pt>
                <c:pt idx="29">
                  <c:v>106.66666547590927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28832"/>
        <c:axId val="95530368"/>
      </c:scatterChart>
      <c:valAx>
        <c:axId val="955288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95530368"/>
        <c:crosses val="autoZero"/>
        <c:crossBetween val="midCat"/>
      </c:valAx>
      <c:valAx>
        <c:axId val="9553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528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Лист3!$E$13:$AI$13</c:f>
              <c:strCache>
                <c:ptCount val="31"/>
                <c:pt idx="0">
                  <c:v>L</c:v>
                </c:pt>
                <c:pt idx="1">
                  <c:v>0</c:v>
                </c:pt>
                <c:pt idx="2">
                  <c:v>0,43</c:v>
                </c:pt>
                <c:pt idx="3">
                  <c:v>0,87</c:v>
                </c:pt>
                <c:pt idx="4">
                  <c:v>1,30</c:v>
                </c:pt>
                <c:pt idx="5">
                  <c:v>1,73</c:v>
                </c:pt>
                <c:pt idx="6">
                  <c:v>2,17</c:v>
                </c:pt>
                <c:pt idx="7">
                  <c:v>2,60</c:v>
                </c:pt>
                <c:pt idx="8">
                  <c:v>3,03</c:v>
                </c:pt>
                <c:pt idx="9">
                  <c:v>3,46</c:v>
                </c:pt>
                <c:pt idx="10">
                  <c:v>3,90</c:v>
                </c:pt>
                <c:pt idx="11">
                  <c:v>4,33</c:v>
                </c:pt>
                <c:pt idx="12">
                  <c:v>4,76</c:v>
                </c:pt>
                <c:pt idx="13">
                  <c:v>5,20</c:v>
                </c:pt>
                <c:pt idx="14">
                  <c:v>5,63</c:v>
                </c:pt>
                <c:pt idx="15">
                  <c:v>6,06</c:v>
                </c:pt>
                <c:pt idx="16">
                  <c:v>6,50</c:v>
                </c:pt>
                <c:pt idx="17">
                  <c:v>6,93</c:v>
                </c:pt>
                <c:pt idx="18">
                  <c:v>7,36</c:v>
                </c:pt>
                <c:pt idx="19">
                  <c:v>7,79</c:v>
                </c:pt>
                <c:pt idx="20">
                  <c:v>8,23</c:v>
                </c:pt>
                <c:pt idx="21">
                  <c:v>8,66</c:v>
                </c:pt>
                <c:pt idx="22">
                  <c:v>9,09</c:v>
                </c:pt>
                <c:pt idx="23">
                  <c:v>9,53</c:v>
                </c:pt>
                <c:pt idx="24">
                  <c:v>9,96</c:v>
                </c:pt>
                <c:pt idx="25">
                  <c:v>10,39</c:v>
                </c:pt>
                <c:pt idx="26">
                  <c:v>10,83</c:v>
                </c:pt>
                <c:pt idx="27">
                  <c:v>11,26</c:v>
                </c:pt>
                <c:pt idx="28">
                  <c:v>11,69</c:v>
                </c:pt>
                <c:pt idx="29">
                  <c:v>12,12</c:v>
                </c:pt>
                <c:pt idx="30">
                  <c:v>12,56</c:v>
                </c:pt>
              </c:strCache>
            </c:strRef>
          </c:cat>
          <c:val>
            <c:numRef>
              <c:f>Лист3!$E$14:$AI$14</c:f>
              <c:numCache>
                <c:formatCode>General</c:formatCode>
                <c:ptCount val="31"/>
                <c:pt idx="0">
                  <c:v>0</c:v>
                </c:pt>
                <c:pt idx="1">
                  <c:v>-0.48790051808062751</c:v>
                </c:pt>
                <c:pt idx="2">
                  <c:v>2.3139874746023668</c:v>
                </c:pt>
                <c:pt idx="3">
                  <c:v>5.2408852047552701</c:v>
                </c:pt>
                <c:pt idx="4">
                  <c:v>8.0542841927338529</c:v>
                </c:pt>
                <c:pt idx="5">
                  <c:v>11.002805297555135</c:v>
                </c:pt>
                <c:pt idx="6">
                  <c:v>13.850232769111004</c:v>
                </c:pt>
                <c:pt idx="7">
                  <c:v>16.841000286218151</c:v>
                </c:pt>
                <c:pt idx="8">
                  <c:v>19.743482335702019</c:v>
                </c:pt>
                <c:pt idx="9">
                  <c:v>22.795163732261194</c:v>
                </c:pt>
                <c:pt idx="10">
                  <c:v>25.771313594422846</c:v>
                </c:pt>
                <c:pt idx="11">
                  <c:v>28.899753793947056</c:v>
                </c:pt>
                <c:pt idx="12">
                  <c:v>31.964956405561956</c:v>
                </c:pt>
                <c:pt idx="13">
                  <c:v>35.18243840561771</c:v>
                </c:pt>
                <c:pt idx="14">
                  <c:v>38.348177169183721</c:v>
                </c:pt>
                <c:pt idx="15">
                  <c:v>41.66284401358503</c:v>
                </c:pt>
                <c:pt idx="16">
                  <c:v>44.936199938779545</c:v>
                </c:pt>
                <c:pt idx="17">
                  <c:v>48.351664706624895</c:v>
                </c:pt>
                <c:pt idx="18">
                  <c:v>51.735010738101252</c:v>
                </c:pt>
                <c:pt idx="19">
                  <c:v>55.25017285298285</c:v>
                </c:pt>
                <c:pt idx="20">
                  <c:v>58.74107772629506</c:v>
                </c:pt>
                <c:pt idx="21">
                  <c:v>62.350154613940951</c:v>
                </c:pt>
                <c:pt idx="22">
                  <c:v>65.941501345625383</c:v>
                </c:pt>
                <c:pt idx="23">
                  <c:v>69.634274676276576</c:v>
                </c:pt>
                <c:pt idx="24">
                  <c:v>73.314589175877103</c:v>
                </c:pt>
                <c:pt idx="25">
                  <c:v>77.076855061818804</c:v>
                </c:pt>
                <c:pt idx="26">
                  <c:v>80.830830782423618</c:v>
                </c:pt>
                <c:pt idx="27">
                  <c:v>84.645033828702196</c:v>
                </c:pt>
                <c:pt idx="28">
                  <c:v>88.454229301759796</c:v>
                </c:pt>
                <c:pt idx="29">
                  <c:v>92.300251796658657</c:v>
                </c:pt>
                <c:pt idx="30">
                  <c:v>96.143929779118793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32160"/>
        <c:axId val="100407552"/>
      </c:lineChart>
      <c:catAx>
        <c:axId val="1451321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0407552"/>
        <c:crosses val="autoZero"/>
        <c:auto val="1"/>
        <c:lblAlgn val="ctr"/>
        <c:lblOffset val="100"/>
        <c:noMultiLvlLbl val="0"/>
      </c:catAx>
      <c:valAx>
        <c:axId val="10040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132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603250</xdr:colOff>
      <xdr:row>19</xdr:row>
      <xdr:rowOff>99786</xdr:rowOff>
    </xdr:from>
    <xdr:to>
      <xdr:col>11</xdr:col>
      <xdr:colOff>281214</xdr:colOff>
      <xdr:row>34</xdr:row>
      <xdr:rowOff>117929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19</xdr:row>
      <xdr:rowOff>34925</xdr:rowOff>
    </xdr:from>
    <xdr:to>
      <xdr:col>11</xdr:col>
      <xdr:colOff>323850</xdr:colOff>
      <xdr:row>34</xdr:row>
      <xdr:rowOff>15875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8"/>
  <sheetViews>
    <sheetView zoomScale="70" zoomScaleNormal="70" workbookViewId="0">
      <selection activeCell="P27" sqref="P27"/>
    </sheetView>
  </sheetViews>
  <sheetFormatPr defaultRowHeight="15" x14ac:dyDescent="0.25"/>
  <cols>
    <col min="7" max="7" width="9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v>0.433</v>
      </c>
    </row>
    <row r="6" spans="2:36" x14ac:dyDescent="0.25">
      <c r="B6" s="1" t="s">
        <v>3</v>
      </c>
      <c r="C6" s="1">
        <v>5000</v>
      </c>
      <c r="D6">
        <v>5000.2839999999997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1"/>
      <c r="C11" s="1"/>
    </row>
    <row r="12" spans="2:36" x14ac:dyDescent="0.25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25">
      <c r="B13" s="1" t="s">
        <v>13</v>
      </c>
      <c r="C13" s="1">
        <v>92000</v>
      </c>
      <c r="E13" s="1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25">
      <c r="B14" s="1" t="s">
        <v>14</v>
      </c>
      <c r="C14" s="1">
        <v>100</v>
      </c>
      <c r="E14" s="1" t="s">
        <v>7</v>
      </c>
      <c r="F14" s="1">
        <f>(F18/C10)*C4+G14</f>
        <v>299.99997763459675</v>
      </c>
      <c r="G14" s="1">
        <v>293.33331096793006</v>
      </c>
      <c r="H14" s="1">
        <v>286.66664436466061</v>
      </c>
      <c r="I14" s="1">
        <v>279.99997782460849</v>
      </c>
      <c r="J14" s="1">
        <v>273.33331134741508</v>
      </c>
      <c r="K14" s="1">
        <v>266.66664493254297</v>
      </c>
      <c r="L14" s="1">
        <v>259.99997857927877</v>
      </c>
      <c r="M14" s="1">
        <v>253.33331228673376</v>
      </c>
      <c r="N14" s="1">
        <v>246.66664605384776</v>
      </c>
      <c r="O14" s="1">
        <v>239.99997987939091</v>
      </c>
      <c r="P14" s="1">
        <v>233.33331376196827</v>
      </c>
      <c r="Q14" s="1">
        <v>226.66664770002262</v>
      </c>
      <c r="R14" s="1">
        <v>219.99998169184016</v>
      </c>
      <c r="S14" s="1">
        <v>213.33331573555401</v>
      </c>
      <c r="T14" s="1">
        <v>206.66664982915083</v>
      </c>
      <c r="U14" s="1">
        <v>199.99998397047526</v>
      </c>
      <c r="V14" s="1">
        <v>193.33331815723727</v>
      </c>
      <c r="W14" s="1">
        <v>186.66665238701742</v>
      </c>
      <c r="X14" s="1">
        <v>179.99998665727495</v>
      </c>
      <c r="Y14" s="1">
        <v>173.33332096535372</v>
      </c>
      <c r="Z14" s="1">
        <v>166.66665530849104</v>
      </c>
      <c r="AA14" s="1">
        <v>159.9999896838242</v>
      </c>
      <c r="AB14" s="1">
        <v>153.33332408839982</v>
      </c>
      <c r="AC14" s="1">
        <v>146.66665851918108</v>
      </c>
      <c r="AD14" s="1">
        <v>139.99999297305737</v>
      </c>
      <c r="AE14" s="1">
        <v>133.33332744685219</v>
      </c>
      <c r="AF14" s="1">
        <v>126.666661937333</v>
      </c>
      <c r="AG14" s="1">
        <v>119.99999644121954</v>
      </c>
      <c r="AH14" s="1">
        <v>113.33333095519386</v>
      </c>
      <c r="AI14" s="1">
        <v>106.66666547590927</v>
      </c>
      <c r="AJ14" s="1">
        <v>100</v>
      </c>
    </row>
    <row r="17" spans="2:36" x14ac:dyDescent="0.25">
      <c r="E17" s="1" t="s">
        <v>9</v>
      </c>
      <c r="F17" s="1"/>
      <c r="G17" s="4">
        <f>G14+(($C$10*$C$5)/($C$9*$C$8))*((H14-2*G14+F14)/($C$4^2))</f>
        <v>293.33331099960429</v>
      </c>
      <c r="H17" s="4">
        <f t="shared" ref="H17:AI17" si="1">H14+(($C$10*$C$5)/($C$9*$C$8))*((I14-2*H14+G14)/($C$4^2))</f>
        <v>286.66664439624498</v>
      </c>
      <c r="I17" s="4">
        <f t="shared" si="1"/>
        <v>279.99997785601369</v>
      </c>
      <c r="J17" s="4">
        <f t="shared" si="1"/>
        <v>273.33331137855174</v>
      </c>
      <c r="K17" s="4">
        <f t="shared" si="1"/>
        <v>266.66664496332322</v>
      </c>
      <c r="L17" s="4">
        <f t="shared" si="1"/>
        <v>259.99997860961503</v>
      </c>
      <c r="M17" s="4">
        <f t="shared" si="1"/>
        <v>253.33331231654034</v>
      </c>
      <c r="N17" s="4">
        <f t="shared" si="1"/>
        <v>246.66664608303986</v>
      </c>
      <c r="O17" s="4">
        <f t="shared" si="1"/>
        <v>239.99997990788609</v>
      </c>
      <c r="P17" s="4">
        <f t="shared" si="1"/>
        <v>233.33331378968543</v>
      </c>
      <c r="Q17" s="4">
        <f t="shared" si="1"/>
        <v>226.66664772688353</v>
      </c>
      <c r="R17" s="4">
        <f t="shared" si="1"/>
        <v>219.99998171776835</v>
      </c>
      <c r="S17" s="4">
        <f t="shared" si="1"/>
        <v>213.3333157604763</v>
      </c>
      <c r="T17" s="4">
        <f t="shared" si="1"/>
        <v>206.66664985299627</v>
      </c>
      <c r="U17" s="4">
        <f t="shared" si="1"/>
        <v>199.99998399317658</v>
      </c>
      <c r="V17" s="4">
        <f t="shared" si="1"/>
        <v>193.3333181787298</v>
      </c>
      <c r="W17" s="4">
        <f t="shared" si="1"/>
        <v>186.66665240724055</v>
      </c>
      <c r="X17" s="4">
        <f t="shared" si="1"/>
        <v>179.99998667617103</v>
      </c>
      <c r="Y17" s="4">
        <f t="shared" si="1"/>
        <v>173.33332098286951</v>
      </c>
      <c r="Z17" s="4">
        <f t="shared" si="1"/>
        <v>166.66665532457657</v>
      </c>
      <c r="AA17" s="4">
        <f t="shared" si="1"/>
        <v>159.99998969843418</v>
      </c>
      <c r="AB17" s="4">
        <f t="shared" si="1"/>
        <v>153.33332410149256</v>
      </c>
      <c r="AC17" s="4">
        <f t="shared" si="1"/>
        <v>146.6666585307197</v>
      </c>
      <c r="AD17" s="4">
        <f t="shared" si="1"/>
        <v>139.99999298300898</v>
      </c>
      <c r="AE17" s="4">
        <f t="shared" si="1"/>
        <v>133.33332745518877</v>
      </c>
      <c r="AF17" s="4">
        <f t="shared" si="1"/>
        <v>126.66666194403071</v>
      </c>
      <c r="AG17" s="4">
        <f t="shared" si="1"/>
        <v>119.99999644625954</v>
      </c>
      <c r="AH17" s="4">
        <f t="shared" si="1"/>
        <v>113.33333095856182</v>
      </c>
      <c r="AI17" s="4">
        <f t="shared" si="1"/>
        <v>106.66666547759563</v>
      </c>
      <c r="AJ17" s="1"/>
    </row>
    <row r="18" spans="2:36" x14ac:dyDescent="0.25">
      <c r="B18">
        <f>(C9*C8*C4^2)/(2*C10)</f>
        <v>0.4333333333333334</v>
      </c>
      <c r="E18" s="5" t="s">
        <v>10</v>
      </c>
      <c r="F18" s="1">
        <f>C13</f>
        <v>92000</v>
      </c>
      <c r="G18" s="1">
        <f t="shared" ref="G18:AI18" si="2">-$C$10*((G14-F14))/$C$4</f>
        <v>92000.000000000262</v>
      </c>
      <c r="H18" s="1">
        <f t="shared" si="2"/>
        <v>91999.999125118382</v>
      </c>
      <c r="I18" s="1">
        <f t="shared" si="2"/>
        <v>91999.998252719248</v>
      </c>
      <c r="J18" s="1">
        <f t="shared" si="2"/>
        <v>91999.997385269147</v>
      </c>
      <c r="K18" s="1">
        <f t="shared" si="2"/>
        <v>91999.996525235125</v>
      </c>
      <c r="L18" s="1">
        <f t="shared" si="2"/>
        <v>91999.995675045822</v>
      </c>
      <c r="M18" s="1">
        <f t="shared" si="2"/>
        <v>91999.994837121223</v>
      </c>
      <c r="N18" s="1">
        <f t="shared" si="2"/>
        <v>91999.994013826814</v>
      </c>
      <c r="O18" s="1">
        <f t="shared" si="2"/>
        <v>91999.993207504522</v>
      </c>
      <c r="P18" s="1">
        <f t="shared" si="2"/>
        <v>91999.992420432376</v>
      </c>
      <c r="Q18" s="1">
        <f t="shared" si="2"/>
        <v>91999.991654849931</v>
      </c>
      <c r="R18" s="1">
        <f t="shared" si="2"/>
        <v>91999.990912917943</v>
      </c>
      <c r="S18" s="1">
        <f t="shared" si="2"/>
        <v>91999.990196748899</v>
      </c>
      <c r="T18" s="1">
        <f t="shared" si="2"/>
        <v>91999.989508363898</v>
      </c>
      <c r="U18" s="1">
        <f t="shared" si="2"/>
        <v>91999.988849722882</v>
      </c>
      <c r="V18" s="1">
        <f t="shared" si="2"/>
        <v>91999.988222684173</v>
      </c>
      <c r="W18" s="1">
        <f t="shared" si="2"/>
        <v>91999.987629033931</v>
      </c>
      <c r="X18" s="1">
        <f t="shared" si="2"/>
        <v>91999.987070446165</v>
      </c>
      <c r="Y18" s="1">
        <f t="shared" si="2"/>
        <v>91999.986548512898</v>
      </c>
      <c r="Z18" s="1">
        <f t="shared" si="2"/>
        <v>91999.986064704921</v>
      </c>
      <c r="AA18" s="1">
        <f t="shared" si="2"/>
        <v>91999.985620402498</v>
      </c>
      <c r="AB18" s="1">
        <f t="shared" si="2"/>
        <v>91999.985216856396</v>
      </c>
      <c r="AC18" s="1">
        <f t="shared" si="2"/>
        <v>91999.984855218558</v>
      </c>
      <c r="AD18" s="1">
        <f t="shared" si="2"/>
        <v>91999.984536507196</v>
      </c>
      <c r="AE18" s="1">
        <f t="shared" si="2"/>
        <v>91999.984261631471</v>
      </c>
      <c r="AF18" s="1">
        <f t="shared" si="2"/>
        <v>91999.984031364831</v>
      </c>
      <c r="AG18" s="1">
        <f t="shared" si="2"/>
        <v>91999.983846365838</v>
      </c>
      <c r="AH18" s="1">
        <f t="shared" si="2"/>
        <v>91999.983707154344</v>
      </c>
      <c r="AI18" s="1">
        <f t="shared" si="2"/>
        <v>91999.983614127326</v>
      </c>
      <c r="AJ18" s="1"/>
    </row>
  </sheetData>
  <conditionalFormatting sqref="E14:AJ14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14:AJ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3:AJ18"/>
  <sheetViews>
    <sheetView tabSelected="1" topLeftCell="D10" workbookViewId="0">
      <selection activeCell="N27" sqref="N27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v>0.433</v>
      </c>
    </row>
    <row r="6" spans="2:36" x14ac:dyDescent="0.25">
      <c r="B6" s="1" t="s">
        <v>3</v>
      </c>
      <c r="C6" s="1">
        <v>200</v>
      </c>
      <c r="D6">
        <v>200.04599999999999</v>
      </c>
    </row>
    <row r="7" spans="2:36" x14ac:dyDescent="0.25">
      <c r="B7" s="1"/>
      <c r="C7" s="1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B11" s="1" t="s">
        <v>11</v>
      </c>
      <c r="C11" s="1">
        <v>90</v>
      </c>
    </row>
    <row r="12" spans="2:36" x14ac:dyDescent="0.25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 x14ac:dyDescent="0.25">
      <c r="B13" s="1" t="s">
        <v>7</v>
      </c>
      <c r="C13" s="1">
        <v>20</v>
      </c>
      <c r="E13" s="1" t="s">
        <v>0</v>
      </c>
      <c r="F13" s="2">
        <v>0</v>
      </c>
      <c r="G13" s="3">
        <f t="shared" ref="G13:AJ13" si="0">F13+$C$5</f>
        <v>0.433</v>
      </c>
      <c r="H13" s="3">
        <f t="shared" si="0"/>
        <v>0.86599999999999999</v>
      </c>
      <c r="I13" s="3">
        <f t="shared" si="0"/>
        <v>1.2989999999999999</v>
      </c>
      <c r="J13" s="3">
        <f t="shared" si="0"/>
        <v>1.732</v>
      </c>
      <c r="K13" s="3">
        <f t="shared" si="0"/>
        <v>2.165</v>
      </c>
      <c r="L13" s="3">
        <f t="shared" si="0"/>
        <v>2.5979999999999999</v>
      </c>
      <c r="M13" s="3">
        <f t="shared" si="0"/>
        <v>3.0309999999999997</v>
      </c>
      <c r="N13" s="3">
        <f t="shared" si="0"/>
        <v>3.4639999999999995</v>
      </c>
      <c r="O13" s="3">
        <f t="shared" si="0"/>
        <v>3.8969999999999994</v>
      </c>
      <c r="P13" s="3">
        <f t="shared" si="0"/>
        <v>4.3299999999999992</v>
      </c>
      <c r="Q13" s="3">
        <f t="shared" si="0"/>
        <v>4.762999999999999</v>
      </c>
      <c r="R13" s="3">
        <f t="shared" si="0"/>
        <v>5.1959999999999988</v>
      </c>
      <c r="S13" s="3">
        <f t="shared" si="0"/>
        <v>5.6289999999999987</v>
      </c>
      <c r="T13" s="3">
        <f t="shared" si="0"/>
        <v>6.0619999999999985</v>
      </c>
      <c r="U13" s="3">
        <f t="shared" si="0"/>
        <v>6.4949999999999983</v>
      </c>
      <c r="V13" s="3">
        <f t="shared" si="0"/>
        <v>6.9279999999999982</v>
      </c>
      <c r="W13" s="3">
        <f t="shared" si="0"/>
        <v>7.360999999999998</v>
      </c>
      <c r="X13" s="3">
        <f t="shared" si="0"/>
        <v>7.7939999999999978</v>
      </c>
      <c r="Y13" s="3">
        <f t="shared" si="0"/>
        <v>8.2269999999999985</v>
      </c>
      <c r="Z13" s="3">
        <f t="shared" si="0"/>
        <v>8.6599999999999984</v>
      </c>
      <c r="AA13" s="3">
        <f t="shared" si="0"/>
        <v>9.0929999999999982</v>
      </c>
      <c r="AB13" s="3">
        <f t="shared" si="0"/>
        <v>9.525999999999998</v>
      </c>
      <c r="AC13" s="3">
        <f t="shared" si="0"/>
        <v>9.9589999999999979</v>
      </c>
      <c r="AD13" s="3">
        <f t="shared" si="0"/>
        <v>10.391999999999998</v>
      </c>
      <c r="AE13" s="3">
        <f t="shared" si="0"/>
        <v>10.824999999999998</v>
      </c>
      <c r="AF13" s="3">
        <f t="shared" si="0"/>
        <v>11.257999999999997</v>
      </c>
      <c r="AG13" s="3">
        <f t="shared" si="0"/>
        <v>11.690999999999997</v>
      </c>
      <c r="AH13" s="3">
        <f t="shared" si="0"/>
        <v>12.123999999999997</v>
      </c>
      <c r="AI13" s="3">
        <f t="shared" si="0"/>
        <v>12.556999999999997</v>
      </c>
      <c r="AJ13" s="2">
        <f t="shared" si="0"/>
        <v>12.989999999999997</v>
      </c>
    </row>
    <row r="14" spans="2:36" x14ac:dyDescent="0.25">
      <c r="B14" s="1" t="s">
        <v>8</v>
      </c>
      <c r="C14" s="1">
        <v>300</v>
      </c>
      <c r="E14" s="1" t="s">
        <v>7</v>
      </c>
      <c r="F14" s="1">
        <f>((F18/C10)*C4)-G14</f>
        <v>-0.48790051808062751</v>
      </c>
      <c r="G14" s="1">
        <v>2.3139874746023668</v>
      </c>
      <c r="H14" s="1">
        <v>5.2408852047552701</v>
      </c>
      <c r="I14" s="1">
        <v>8.0542841927338529</v>
      </c>
      <c r="J14" s="1">
        <v>11.002805297555135</v>
      </c>
      <c r="K14" s="1">
        <v>13.850232769111004</v>
      </c>
      <c r="L14" s="1">
        <v>16.841000286218151</v>
      </c>
      <c r="M14" s="1">
        <v>19.743482335702019</v>
      </c>
      <c r="N14" s="1">
        <v>22.795163732261194</v>
      </c>
      <c r="O14" s="1">
        <v>25.771313594422846</v>
      </c>
      <c r="P14" s="1">
        <v>28.899753793947056</v>
      </c>
      <c r="Q14" s="1">
        <v>31.964956405561956</v>
      </c>
      <c r="R14" s="1">
        <v>35.18243840561771</v>
      </c>
      <c r="S14" s="1">
        <v>38.348177169183721</v>
      </c>
      <c r="T14" s="1">
        <v>41.66284401358503</v>
      </c>
      <c r="U14" s="1">
        <v>44.936199938779545</v>
      </c>
      <c r="V14" s="1">
        <v>48.351664706624895</v>
      </c>
      <c r="W14" s="1">
        <v>51.735010738101252</v>
      </c>
      <c r="X14" s="1">
        <v>55.25017285298285</v>
      </c>
      <c r="Y14" s="1">
        <v>58.74107772629506</v>
      </c>
      <c r="Z14" s="1">
        <v>62.350154613940951</v>
      </c>
      <c r="AA14" s="1">
        <v>65.941501345625383</v>
      </c>
      <c r="AB14" s="1">
        <v>69.634274676276576</v>
      </c>
      <c r="AC14" s="1">
        <v>73.314589175877103</v>
      </c>
      <c r="AD14" s="1">
        <v>77.076855061818804</v>
      </c>
      <c r="AE14" s="1">
        <v>80.830830782423618</v>
      </c>
      <c r="AF14" s="1">
        <v>84.645033828702196</v>
      </c>
      <c r="AG14" s="1">
        <v>88.454229301759796</v>
      </c>
      <c r="AH14" s="1">
        <v>92.300251796658657</v>
      </c>
      <c r="AI14" s="1">
        <v>96.143929779118793</v>
      </c>
      <c r="AJ14" s="1">
        <v>100</v>
      </c>
    </row>
    <row r="17" spans="2:36" x14ac:dyDescent="0.25">
      <c r="E17" s="1" t="s">
        <v>9</v>
      </c>
      <c r="F17" s="1"/>
      <c r="G17" s="4">
        <f>G14+(($C$10*$C$5)/($C$9*$C$8))*((H14-2*G14+F14)/($C$4^2))</f>
        <v>2.3764442626690636</v>
      </c>
      <c r="H17" s="4">
        <f t="shared" ref="H17:AJ17" si="1">H14+(($C$10*$C$5)/($C$9*$C$8))*((I14-2*H14+G14)/($C$4^2))</f>
        <v>5.1841794870304847</v>
      </c>
      <c r="I17" s="4">
        <f t="shared" si="1"/>
        <v>8.1217932811102624</v>
      </c>
      <c r="J17" s="4">
        <f t="shared" si="1"/>
        <v>10.95229736308907</v>
      </c>
      <c r="K17" s="4">
        <f t="shared" si="1"/>
        <v>13.921847661099893</v>
      </c>
      <c r="L17" s="4">
        <f t="shared" si="1"/>
        <v>16.796891508355596</v>
      </c>
      <c r="M17" s="4">
        <f t="shared" si="1"/>
        <v>19.818024624875413</v>
      </c>
      <c r="N17" s="4">
        <f t="shared" si="1"/>
        <v>22.757427015652585</v>
      </c>
      <c r="O17" s="4">
        <f t="shared" si="1"/>
        <v>25.847400189897446</v>
      </c>
      <c r="P17" s="4">
        <f t="shared" si="1"/>
        <v>28.868159322141597</v>
      </c>
      <c r="Q17" s="4">
        <f t="shared" si="1"/>
        <v>32.041037530786831</v>
      </c>
      <c r="R17" s="4">
        <f t="shared" si="1"/>
        <v>35.156586688617644</v>
      </c>
      <c r="S17" s="4">
        <f t="shared" si="1"/>
        <v>38.42258392957028</v>
      </c>
      <c r="T17" s="4">
        <f t="shared" si="1"/>
        <v>41.642204442796711</v>
      </c>
      <c r="U17" s="4">
        <f t="shared" si="1"/>
        <v>45.00719970285779</v>
      </c>
      <c r="V17" s="4">
        <f t="shared" si="1"/>
        <v>48.335617691800543</v>
      </c>
      <c r="W17" s="4">
        <f t="shared" si="1"/>
        <v>51.800868081310256</v>
      </c>
      <c r="X17" s="4">
        <f t="shared" si="1"/>
        <v>55.238053561906455</v>
      </c>
      <c r="Y17" s="4">
        <f t="shared" si="1"/>
        <v>58.800118282687158</v>
      </c>
      <c r="Z17" s="4">
        <f t="shared" si="1"/>
        <v>62.341296355250975</v>
      </c>
      <c r="AA17" s="4">
        <f t="shared" si="1"/>
        <v>65.992175634878393</v>
      </c>
      <c r="AB17" s="4">
        <f t="shared" si="1"/>
        <v>69.628050052609339</v>
      </c>
      <c r="AC17" s="4">
        <f t="shared" si="1"/>
        <v>73.355533349283718</v>
      </c>
      <c r="AD17" s="4">
        <f t="shared" si="1"/>
        <v>77.072713167675488</v>
      </c>
      <c r="AE17" s="4">
        <f t="shared" si="1"/>
        <v>80.860921280904478</v>
      </c>
      <c r="AF17" s="4">
        <f t="shared" si="1"/>
        <v>84.642531968081414</v>
      </c>
      <c r="AG17" s="4">
        <f t="shared" si="1"/>
        <v>88.472628648441258</v>
      </c>
      <c r="AH17" s="4">
        <f t="shared" si="1"/>
        <v>92.299080442174841</v>
      </c>
      <c r="AI17" s="4">
        <f t="shared" si="1"/>
        <v>96.150121132083783</v>
      </c>
      <c r="AJ17" s="4">
        <f t="shared" si="1"/>
        <v>48.111909531952058</v>
      </c>
    </row>
    <row r="18" spans="2:36" x14ac:dyDescent="0.25">
      <c r="B18">
        <f>(C9*C8*C4^2)/(2*C10)</f>
        <v>0.4333333333333334</v>
      </c>
      <c r="E18" s="5" t="s">
        <v>12</v>
      </c>
      <c r="F18" s="1">
        <f>C11*(C14-C13)</f>
        <v>25200</v>
      </c>
      <c r="G18" s="1">
        <f t="shared" ref="G18:AJ18" si="2">-$C$10*((G14-F14))/$C$4</f>
        <v>-38666.054299025316</v>
      </c>
      <c r="H18" s="1">
        <f t="shared" si="2"/>
        <v>-40391.188676110061</v>
      </c>
      <c r="I18" s="1">
        <f t="shared" si="2"/>
        <v>-38824.906034104439</v>
      </c>
      <c r="J18" s="1">
        <f t="shared" si="2"/>
        <v>-40689.591246533688</v>
      </c>
      <c r="K18" s="1">
        <f t="shared" si="2"/>
        <v>-39294.499107470998</v>
      </c>
      <c r="L18" s="1">
        <f t="shared" si="2"/>
        <v>-41272.591736078619</v>
      </c>
      <c r="M18" s="1">
        <f t="shared" si="2"/>
        <v>-40054.252282877387</v>
      </c>
      <c r="N18" s="1">
        <f t="shared" si="2"/>
        <v>-42113.203272516614</v>
      </c>
      <c r="O18" s="1">
        <f t="shared" si="2"/>
        <v>-41070.868097830797</v>
      </c>
      <c r="P18" s="1">
        <f t="shared" si="2"/>
        <v>-43172.474753434093</v>
      </c>
      <c r="Q18" s="1">
        <f t="shared" si="2"/>
        <v>-42299.796040285626</v>
      </c>
      <c r="R18" s="1">
        <f t="shared" si="2"/>
        <v>-44401.251600769392</v>
      </c>
      <c r="S18" s="1">
        <f t="shared" si="2"/>
        <v>-43687.194937210952</v>
      </c>
      <c r="T18" s="1">
        <f t="shared" si="2"/>
        <v>-45742.402452738061</v>
      </c>
      <c r="U18" s="1">
        <f t="shared" si="2"/>
        <v>-45172.311767684303</v>
      </c>
      <c r="V18" s="1">
        <f t="shared" si="2"/>
        <v>-47133.413796265828</v>
      </c>
      <c r="W18" s="1">
        <f t="shared" si="2"/>
        <v>-46690.175234373732</v>
      </c>
      <c r="X18" s="1">
        <f t="shared" si="2"/>
        <v>-48509.237185366044</v>
      </c>
      <c r="Y18" s="1">
        <f t="shared" si="2"/>
        <v>-48174.487251708495</v>
      </c>
      <c r="Z18" s="1">
        <f t="shared" si="2"/>
        <v>-49805.26104951329</v>
      </c>
      <c r="AA18" s="1">
        <f t="shared" si="2"/>
        <v>-49560.584897245149</v>
      </c>
      <c r="AB18" s="1">
        <f t="shared" si="2"/>
        <v>-50960.271962986451</v>
      </c>
      <c r="AC18" s="1">
        <f t="shared" si="2"/>
        <v>-50788.34009448727</v>
      </c>
      <c r="AD18" s="1">
        <f t="shared" si="2"/>
        <v>-51919.269225995478</v>
      </c>
      <c r="AE18" s="1">
        <f t="shared" si="2"/>
        <v>-51804.864944346424</v>
      </c>
      <c r="AF18" s="1">
        <f t="shared" si="2"/>
        <v>-52636.002038644379</v>
      </c>
      <c r="AG18" s="1">
        <f t="shared" si="2"/>
        <v>-52566.897528194866</v>
      </c>
      <c r="AH18" s="1">
        <f t="shared" si="2"/>
        <v>-53075.110429604276</v>
      </c>
      <c r="AI18" s="1">
        <f t="shared" si="2"/>
        <v>-53042.756157949872</v>
      </c>
      <c r="AJ18" s="1">
        <f t="shared" si="2"/>
        <v>-53213.769048160662</v>
      </c>
    </row>
  </sheetData>
  <conditionalFormatting sqref="E14:AJ14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F14:AJ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2021-03-10T13:25:08Z</dcterms:modified>
</cp:coreProperties>
</file>